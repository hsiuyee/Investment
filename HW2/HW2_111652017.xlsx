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013F8\EXCELCNV\ab3fcf0a-d1a9-4d65-8ea7-be2df1c24a40\"/>
    </mc:Choice>
  </mc:AlternateContent>
  <xr:revisionPtr revIDLastSave="660" documentId="8_{6D44A3D9-08D1-472F-8FC6-CDE43830BBD6}" xr6:coauthVersionLast="47" xr6:coauthVersionMax="47" xr10:uidLastSave="{D660FD87-F0E4-432B-85B8-E5F3498D5755}"/>
  <bookViews>
    <workbookView xWindow="-60" yWindow="-60" windowWidth="15480" windowHeight="11640" xr2:uid="{A0DB780D-2634-462D-8111-88E7F1F5662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3" i="1" l="1"/>
  <c r="L74" i="1"/>
  <c r="M73" i="1"/>
  <c r="H5" i="1"/>
  <c r="I5" i="1"/>
  <c r="S75" i="1"/>
  <c r="S56" i="1"/>
  <c r="T55" i="1"/>
  <c r="S31" i="1"/>
  <c r="S12" i="1"/>
  <c r="T11" i="1"/>
  <c r="M11" i="1"/>
  <c r="L31" i="1"/>
  <c r="L32" i="1"/>
  <c r="L33" i="1"/>
  <c r="L34" i="1"/>
  <c r="L35" i="1"/>
  <c r="L36" i="1"/>
  <c r="L37" i="1"/>
  <c r="L12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L75" i="1" l="1"/>
  <c r="M74" i="1"/>
  <c r="L94" i="1"/>
  <c r="M93" i="1"/>
  <c r="C32" i="1"/>
  <c r="C31" i="1"/>
  <c r="C30" i="1"/>
  <c r="C29" i="1"/>
  <c r="M12" i="1"/>
  <c r="L13" i="1"/>
  <c r="M37" i="1"/>
  <c r="L38" i="1"/>
  <c r="M36" i="1"/>
  <c r="M35" i="1"/>
  <c r="M34" i="1"/>
  <c r="M33" i="1"/>
  <c r="M32" i="1"/>
  <c r="M31" i="1"/>
  <c r="S57" i="1"/>
  <c r="T56" i="1"/>
  <c r="S76" i="1"/>
  <c r="T75" i="1"/>
  <c r="S13" i="1"/>
  <c r="T12" i="1"/>
  <c r="S32" i="1"/>
  <c r="T31" i="1"/>
  <c r="D29" i="1"/>
  <c r="D32" i="1"/>
  <c r="D31" i="1"/>
  <c r="D30" i="1"/>
  <c r="C35" i="1"/>
  <c r="N73" i="1" l="1"/>
  <c r="O73" i="1"/>
  <c r="P73" i="1" s="1"/>
  <c r="O93" i="1"/>
  <c r="P93" i="1" s="1"/>
  <c r="N93" i="1"/>
  <c r="Q93" i="1" s="1"/>
  <c r="L95" i="1"/>
  <c r="M94" i="1"/>
  <c r="O74" i="1"/>
  <c r="P74" i="1" s="1"/>
  <c r="N74" i="1"/>
  <c r="Q74" i="1" s="1"/>
  <c r="L76" i="1"/>
  <c r="M75" i="1"/>
  <c r="N11" i="1"/>
  <c r="N12" i="1"/>
  <c r="N37" i="1"/>
  <c r="N36" i="1"/>
  <c r="N35" i="1"/>
  <c r="N34" i="1"/>
  <c r="N33" i="1"/>
  <c r="N32" i="1"/>
  <c r="N31" i="1"/>
  <c r="U55" i="1"/>
  <c r="U11" i="1"/>
  <c r="V55" i="1"/>
  <c r="W55" i="1" s="1"/>
  <c r="V11" i="1"/>
  <c r="W11" i="1" s="1"/>
  <c r="O11" i="1"/>
  <c r="P11" i="1" s="1"/>
  <c r="V56" i="1"/>
  <c r="W56" i="1" s="1"/>
  <c r="V12" i="1"/>
  <c r="O12" i="1"/>
  <c r="P12" i="1" s="1"/>
  <c r="V81" i="1"/>
  <c r="V37" i="1"/>
  <c r="O37" i="1"/>
  <c r="P37" i="1" s="1"/>
  <c r="V80" i="1"/>
  <c r="V36" i="1"/>
  <c r="O36" i="1"/>
  <c r="P36" i="1" s="1"/>
  <c r="V79" i="1"/>
  <c r="V35" i="1"/>
  <c r="O35" i="1"/>
  <c r="P35" i="1" s="1"/>
  <c r="V78" i="1"/>
  <c r="V34" i="1"/>
  <c r="O34" i="1"/>
  <c r="P34" i="1" s="1"/>
  <c r="V77" i="1"/>
  <c r="V33" i="1"/>
  <c r="O33" i="1"/>
  <c r="P33" i="1" s="1"/>
  <c r="V76" i="1"/>
  <c r="V32" i="1"/>
  <c r="O32" i="1"/>
  <c r="P32" i="1" s="1"/>
  <c r="V75" i="1"/>
  <c r="V31" i="1"/>
  <c r="O31" i="1"/>
  <c r="P31" i="1" s="1"/>
  <c r="M38" i="1"/>
  <c r="L39" i="1"/>
  <c r="M13" i="1"/>
  <c r="L14" i="1"/>
  <c r="W75" i="1"/>
  <c r="U75" i="1"/>
  <c r="S77" i="1"/>
  <c r="T76" i="1"/>
  <c r="U56" i="1"/>
  <c r="S58" i="1"/>
  <c r="T57" i="1"/>
  <c r="W31" i="1"/>
  <c r="U31" i="1"/>
  <c r="S33" i="1"/>
  <c r="T32" i="1"/>
  <c r="W12" i="1"/>
  <c r="U12" i="1"/>
  <c r="S14" i="1"/>
  <c r="T13" i="1"/>
  <c r="Q73" i="1" l="1"/>
  <c r="O75" i="1"/>
  <c r="P75" i="1" s="1"/>
  <c r="N75" i="1"/>
  <c r="Q75" i="1" s="1"/>
  <c r="L77" i="1"/>
  <c r="M76" i="1"/>
  <c r="O94" i="1"/>
  <c r="P94" i="1" s="1"/>
  <c r="N94" i="1"/>
  <c r="Q94" i="1" s="1"/>
  <c r="L96" i="1"/>
  <c r="M95" i="1"/>
  <c r="M14" i="1"/>
  <c r="L15" i="1"/>
  <c r="V57" i="1"/>
  <c r="W57" i="1" s="1"/>
  <c r="V13" i="1"/>
  <c r="O13" i="1"/>
  <c r="P13" i="1" s="1"/>
  <c r="N13" i="1"/>
  <c r="M39" i="1"/>
  <c r="L40" i="1"/>
  <c r="V82" i="1"/>
  <c r="V38" i="1"/>
  <c r="O38" i="1"/>
  <c r="P38" i="1" s="1"/>
  <c r="N38" i="1"/>
  <c r="U57" i="1"/>
  <c r="S59" i="1"/>
  <c r="T58" i="1"/>
  <c r="W76" i="1"/>
  <c r="U76" i="1"/>
  <c r="S78" i="1"/>
  <c r="T77" i="1"/>
  <c r="W13" i="1"/>
  <c r="U13" i="1"/>
  <c r="S15" i="1"/>
  <c r="T14" i="1"/>
  <c r="W32" i="1"/>
  <c r="U32" i="1"/>
  <c r="S34" i="1"/>
  <c r="T33" i="1"/>
  <c r="O95" i="1" l="1"/>
  <c r="P95" i="1" s="1"/>
  <c r="N95" i="1"/>
  <c r="Q95" i="1" s="1"/>
  <c r="L97" i="1"/>
  <c r="M96" i="1"/>
  <c r="O76" i="1"/>
  <c r="P76" i="1" s="1"/>
  <c r="N76" i="1"/>
  <c r="Q76" i="1" s="1"/>
  <c r="L78" i="1"/>
  <c r="M77" i="1"/>
  <c r="M40" i="1"/>
  <c r="L41" i="1"/>
  <c r="V83" i="1"/>
  <c r="V39" i="1"/>
  <c r="O39" i="1"/>
  <c r="P39" i="1" s="1"/>
  <c r="N39" i="1"/>
  <c r="M15" i="1"/>
  <c r="L16" i="1"/>
  <c r="V58" i="1"/>
  <c r="W58" i="1" s="1"/>
  <c r="V14" i="1"/>
  <c r="O14" i="1"/>
  <c r="P14" i="1" s="1"/>
  <c r="N14" i="1"/>
  <c r="W77" i="1"/>
  <c r="U77" i="1"/>
  <c r="S79" i="1"/>
  <c r="T78" i="1"/>
  <c r="U58" i="1"/>
  <c r="S60" i="1"/>
  <c r="T59" i="1"/>
  <c r="W33" i="1"/>
  <c r="U33" i="1"/>
  <c r="S35" i="1"/>
  <c r="T34" i="1"/>
  <c r="W14" i="1"/>
  <c r="U14" i="1"/>
  <c r="S16" i="1"/>
  <c r="T15" i="1"/>
  <c r="O77" i="1" l="1"/>
  <c r="P77" i="1" s="1"/>
  <c r="N77" i="1"/>
  <c r="Q77" i="1" s="1"/>
  <c r="L79" i="1"/>
  <c r="M78" i="1"/>
  <c r="O96" i="1"/>
  <c r="P96" i="1" s="1"/>
  <c r="N96" i="1"/>
  <c r="Q96" i="1" s="1"/>
  <c r="L98" i="1"/>
  <c r="M97" i="1"/>
  <c r="M16" i="1"/>
  <c r="L17" i="1"/>
  <c r="V59" i="1"/>
  <c r="W59" i="1" s="1"/>
  <c r="V15" i="1"/>
  <c r="O15" i="1"/>
  <c r="P15" i="1" s="1"/>
  <c r="N15" i="1"/>
  <c r="M41" i="1"/>
  <c r="L42" i="1"/>
  <c r="V84" i="1"/>
  <c r="V40" i="1"/>
  <c r="O40" i="1"/>
  <c r="P40" i="1" s="1"/>
  <c r="N40" i="1"/>
  <c r="U59" i="1"/>
  <c r="S61" i="1"/>
  <c r="T60" i="1"/>
  <c r="W78" i="1"/>
  <c r="U78" i="1"/>
  <c r="S80" i="1"/>
  <c r="T79" i="1"/>
  <c r="W15" i="1"/>
  <c r="U15" i="1"/>
  <c r="S17" i="1"/>
  <c r="T16" i="1"/>
  <c r="W34" i="1"/>
  <c r="U34" i="1"/>
  <c r="S36" i="1"/>
  <c r="T35" i="1"/>
  <c r="O97" i="1" l="1"/>
  <c r="P97" i="1" s="1"/>
  <c r="N97" i="1"/>
  <c r="Q97" i="1" s="1"/>
  <c r="L99" i="1"/>
  <c r="M98" i="1"/>
  <c r="O78" i="1"/>
  <c r="P78" i="1" s="1"/>
  <c r="N78" i="1"/>
  <c r="Q78" i="1" s="1"/>
  <c r="L80" i="1"/>
  <c r="M79" i="1"/>
  <c r="M42" i="1"/>
  <c r="L43" i="1"/>
  <c r="V85" i="1"/>
  <c r="V41" i="1"/>
  <c r="O41" i="1"/>
  <c r="P41" i="1" s="1"/>
  <c r="N41" i="1"/>
  <c r="M17" i="1"/>
  <c r="L18" i="1"/>
  <c r="V60" i="1"/>
  <c r="V16" i="1"/>
  <c r="O16" i="1"/>
  <c r="P16" i="1" s="1"/>
  <c r="N16" i="1"/>
  <c r="W79" i="1"/>
  <c r="U79" i="1"/>
  <c r="S81" i="1"/>
  <c r="T80" i="1"/>
  <c r="W60" i="1"/>
  <c r="U60" i="1"/>
  <c r="S62" i="1"/>
  <c r="T61" i="1"/>
  <c r="W35" i="1"/>
  <c r="U35" i="1"/>
  <c r="S37" i="1"/>
  <c r="T36" i="1"/>
  <c r="W16" i="1"/>
  <c r="U16" i="1"/>
  <c r="S18" i="1"/>
  <c r="T17" i="1"/>
  <c r="O79" i="1" l="1"/>
  <c r="P79" i="1" s="1"/>
  <c r="N79" i="1"/>
  <c r="Q79" i="1" s="1"/>
  <c r="L81" i="1"/>
  <c r="M80" i="1"/>
  <c r="O98" i="1"/>
  <c r="P98" i="1" s="1"/>
  <c r="N98" i="1"/>
  <c r="Q98" i="1" s="1"/>
  <c r="L100" i="1"/>
  <c r="M99" i="1"/>
  <c r="M18" i="1"/>
  <c r="L19" i="1"/>
  <c r="V61" i="1"/>
  <c r="V17" i="1"/>
  <c r="O17" i="1"/>
  <c r="P17" i="1" s="1"/>
  <c r="N17" i="1"/>
  <c r="M43" i="1"/>
  <c r="L44" i="1"/>
  <c r="V86" i="1"/>
  <c r="V42" i="1"/>
  <c r="O42" i="1"/>
  <c r="P42" i="1" s="1"/>
  <c r="N42" i="1"/>
  <c r="W61" i="1"/>
  <c r="U61" i="1"/>
  <c r="S63" i="1"/>
  <c r="T62" i="1"/>
  <c r="W80" i="1"/>
  <c r="U80" i="1"/>
  <c r="S82" i="1"/>
  <c r="T81" i="1"/>
  <c r="W17" i="1"/>
  <c r="U17" i="1"/>
  <c r="S19" i="1"/>
  <c r="T18" i="1"/>
  <c r="W36" i="1"/>
  <c r="U36" i="1"/>
  <c r="S38" i="1"/>
  <c r="T37" i="1"/>
  <c r="O99" i="1" l="1"/>
  <c r="P99" i="1" s="1"/>
  <c r="N99" i="1"/>
  <c r="Q99" i="1" s="1"/>
  <c r="L101" i="1"/>
  <c r="M100" i="1"/>
  <c r="O80" i="1"/>
  <c r="P80" i="1" s="1"/>
  <c r="N80" i="1"/>
  <c r="Q80" i="1" s="1"/>
  <c r="L82" i="1"/>
  <c r="M81" i="1"/>
  <c r="M44" i="1"/>
  <c r="L45" i="1"/>
  <c r="V87" i="1"/>
  <c r="V43" i="1"/>
  <c r="O43" i="1"/>
  <c r="P43" i="1" s="1"/>
  <c r="N43" i="1"/>
  <c r="M19" i="1"/>
  <c r="L20" i="1"/>
  <c r="V62" i="1"/>
  <c r="V18" i="1"/>
  <c r="O18" i="1"/>
  <c r="P18" i="1" s="1"/>
  <c r="N18" i="1"/>
  <c r="W81" i="1"/>
  <c r="U81" i="1"/>
  <c r="S83" i="1"/>
  <c r="T82" i="1"/>
  <c r="W62" i="1"/>
  <c r="U62" i="1"/>
  <c r="S64" i="1"/>
  <c r="T63" i="1"/>
  <c r="W37" i="1"/>
  <c r="U37" i="1"/>
  <c r="S39" i="1"/>
  <c r="T38" i="1"/>
  <c r="W18" i="1"/>
  <c r="U18" i="1"/>
  <c r="S20" i="1"/>
  <c r="T19" i="1"/>
  <c r="O81" i="1" l="1"/>
  <c r="P81" i="1" s="1"/>
  <c r="N81" i="1"/>
  <c r="Q81" i="1" s="1"/>
  <c r="L83" i="1"/>
  <c r="M82" i="1"/>
  <c r="O100" i="1"/>
  <c r="P100" i="1" s="1"/>
  <c r="N100" i="1"/>
  <c r="Q100" i="1" s="1"/>
  <c r="L102" i="1"/>
  <c r="M101" i="1"/>
  <c r="M20" i="1"/>
  <c r="L21" i="1"/>
  <c r="V63" i="1"/>
  <c r="V19" i="1"/>
  <c r="O19" i="1"/>
  <c r="P19" i="1" s="1"/>
  <c r="N19" i="1"/>
  <c r="M45" i="1"/>
  <c r="L46" i="1"/>
  <c r="V88" i="1"/>
  <c r="V44" i="1"/>
  <c r="O44" i="1"/>
  <c r="P44" i="1" s="1"/>
  <c r="N44" i="1"/>
  <c r="W63" i="1"/>
  <c r="U63" i="1"/>
  <c r="S65" i="1"/>
  <c r="T64" i="1"/>
  <c r="W82" i="1"/>
  <c r="U82" i="1"/>
  <c r="S84" i="1"/>
  <c r="T83" i="1"/>
  <c r="W19" i="1"/>
  <c r="U19" i="1"/>
  <c r="S21" i="1"/>
  <c r="T20" i="1"/>
  <c r="W38" i="1"/>
  <c r="U38" i="1"/>
  <c r="S40" i="1"/>
  <c r="T39" i="1"/>
  <c r="O101" i="1" l="1"/>
  <c r="P101" i="1" s="1"/>
  <c r="N101" i="1"/>
  <c r="Q101" i="1" s="1"/>
  <c r="L103" i="1"/>
  <c r="M102" i="1"/>
  <c r="O82" i="1"/>
  <c r="P82" i="1" s="1"/>
  <c r="N82" i="1"/>
  <c r="Q82" i="1" s="1"/>
  <c r="L84" i="1"/>
  <c r="M83" i="1"/>
  <c r="M46" i="1"/>
  <c r="L47" i="1"/>
  <c r="V89" i="1"/>
  <c r="V45" i="1"/>
  <c r="O45" i="1"/>
  <c r="P45" i="1" s="1"/>
  <c r="N45" i="1"/>
  <c r="M21" i="1"/>
  <c r="L22" i="1"/>
  <c r="V64" i="1"/>
  <c r="V20" i="1"/>
  <c r="O20" i="1"/>
  <c r="P20" i="1" s="1"/>
  <c r="N20" i="1"/>
  <c r="W83" i="1"/>
  <c r="U83" i="1"/>
  <c r="S85" i="1"/>
  <c r="T84" i="1"/>
  <c r="W64" i="1"/>
  <c r="U64" i="1"/>
  <c r="S66" i="1"/>
  <c r="T65" i="1"/>
  <c r="W39" i="1"/>
  <c r="U39" i="1"/>
  <c r="S41" i="1"/>
  <c r="T40" i="1"/>
  <c r="W20" i="1"/>
  <c r="U20" i="1"/>
  <c r="S22" i="1"/>
  <c r="T21" i="1"/>
  <c r="O83" i="1" l="1"/>
  <c r="P83" i="1" s="1"/>
  <c r="N83" i="1"/>
  <c r="Q83" i="1" s="1"/>
  <c r="L85" i="1"/>
  <c r="M84" i="1"/>
  <c r="O102" i="1"/>
  <c r="P102" i="1" s="1"/>
  <c r="N102" i="1"/>
  <c r="Q102" i="1" s="1"/>
  <c r="L104" i="1"/>
  <c r="M103" i="1"/>
  <c r="M22" i="1"/>
  <c r="L23" i="1"/>
  <c r="V65" i="1"/>
  <c r="V21" i="1"/>
  <c r="O21" i="1"/>
  <c r="P21" i="1" s="1"/>
  <c r="N21" i="1"/>
  <c r="M47" i="1"/>
  <c r="L48" i="1"/>
  <c r="V90" i="1"/>
  <c r="V46" i="1"/>
  <c r="O46" i="1"/>
  <c r="P46" i="1" s="1"/>
  <c r="N46" i="1"/>
  <c r="W65" i="1"/>
  <c r="U65" i="1"/>
  <c r="S67" i="1"/>
  <c r="T66" i="1"/>
  <c r="W84" i="1"/>
  <c r="U84" i="1"/>
  <c r="S86" i="1"/>
  <c r="T85" i="1"/>
  <c r="W21" i="1"/>
  <c r="U21" i="1"/>
  <c r="S23" i="1"/>
  <c r="T22" i="1"/>
  <c r="W40" i="1"/>
  <c r="U40" i="1"/>
  <c r="S42" i="1"/>
  <c r="T41" i="1"/>
  <c r="O103" i="1" l="1"/>
  <c r="P103" i="1" s="1"/>
  <c r="N103" i="1"/>
  <c r="Q103" i="1" s="1"/>
  <c r="L105" i="1"/>
  <c r="M104" i="1"/>
  <c r="O84" i="1"/>
  <c r="P84" i="1" s="1"/>
  <c r="N84" i="1"/>
  <c r="Q84" i="1" s="1"/>
  <c r="L86" i="1"/>
  <c r="M85" i="1"/>
  <c r="M48" i="1"/>
  <c r="L49" i="1"/>
  <c r="V91" i="1"/>
  <c r="V47" i="1"/>
  <c r="O47" i="1"/>
  <c r="P47" i="1" s="1"/>
  <c r="N47" i="1"/>
  <c r="M23" i="1"/>
  <c r="L24" i="1"/>
  <c r="V66" i="1"/>
  <c r="V22" i="1"/>
  <c r="O22" i="1"/>
  <c r="P22" i="1" s="1"/>
  <c r="N22" i="1"/>
  <c r="W85" i="1"/>
  <c r="U85" i="1"/>
  <c r="S87" i="1"/>
  <c r="T86" i="1"/>
  <c r="W66" i="1"/>
  <c r="U66" i="1"/>
  <c r="S68" i="1"/>
  <c r="T67" i="1"/>
  <c r="W41" i="1"/>
  <c r="U41" i="1"/>
  <c r="S43" i="1"/>
  <c r="T42" i="1"/>
  <c r="W22" i="1"/>
  <c r="U22" i="1"/>
  <c r="S24" i="1"/>
  <c r="T23" i="1"/>
  <c r="O85" i="1" l="1"/>
  <c r="P85" i="1" s="1"/>
  <c r="N85" i="1"/>
  <c r="Q85" i="1" s="1"/>
  <c r="L87" i="1"/>
  <c r="M86" i="1"/>
  <c r="O104" i="1"/>
  <c r="P104" i="1" s="1"/>
  <c r="N104" i="1"/>
  <c r="Q104" i="1" s="1"/>
  <c r="L106" i="1"/>
  <c r="M105" i="1"/>
  <c r="M24" i="1"/>
  <c r="L25" i="1"/>
  <c r="V67" i="1"/>
  <c r="V23" i="1"/>
  <c r="O23" i="1"/>
  <c r="P23" i="1" s="1"/>
  <c r="N23" i="1"/>
  <c r="M49" i="1"/>
  <c r="L50" i="1"/>
  <c r="V92" i="1"/>
  <c r="V48" i="1"/>
  <c r="O48" i="1"/>
  <c r="P48" i="1" s="1"/>
  <c r="N48" i="1"/>
  <c r="W67" i="1"/>
  <c r="U67" i="1"/>
  <c r="S69" i="1"/>
  <c r="T68" i="1"/>
  <c r="W86" i="1"/>
  <c r="U86" i="1"/>
  <c r="S88" i="1"/>
  <c r="T87" i="1"/>
  <c r="W23" i="1"/>
  <c r="U23" i="1"/>
  <c r="S25" i="1"/>
  <c r="T24" i="1"/>
  <c r="W42" i="1"/>
  <c r="U42" i="1"/>
  <c r="S44" i="1"/>
  <c r="T43" i="1"/>
  <c r="O105" i="1" l="1"/>
  <c r="P105" i="1" s="1"/>
  <c r="N105" i="1"/>
  <c r="Q105" i="1" s="1"/>
  <c r="L107" i="1"/>
  <c r="M106" i="1"/>
  <c r="O86" i="1"/>
  <c r="P86" i="1" s="1"/>
  <c r="N86" i="1"/>
  <c r="Q86" i="1" s="1"/>
  <c r="L88" i="1"/>
  <c r="M87" i="1"/>
  <c r="M50" i="1"/>
  <c r="L51" i="1"/>
  <c r="V93" i="1"/>
  <c r="V49" i="1"/>
  <c r="O49" i="1"/>
  <c r="P49" i="1" s="1"/>
  <c r="N49" i="1"/>
  <c r="M25" i="1"/>
  <c r="L26" i="1"/>
  <c r="V68" i="1"/>
  <c r="V24" i="1"/>
  <c r="O24" i="1"/>
  <c r="P24" i="1" s="1"/>
  <c r="N24" i="1"/>
  <c r="W87" i="1"/>
  <c r="U87" i="1"/>
  <c r="S89" i="1"/>
  <c r="T88" i="1"/>
  <c r="W68" i="1"/>
  <c r="U68" i="1"/>
  <c r="S70" i="1"/>
  <c r="T69" i="1"/>
  <c r="W43" i="1"/>
  <c r="U43" i="1"/>
  <c r="S45" i="1"/>
  <c r="T44" i="1"/>
  <c r="W24" i="1"/>
  <c r="U24" i="1"/>
  <c r="S26" i="1"/>
  <c r="T25" i="1"/>
  <c r="O87" i="1" l="1"/>
  <c r="P87" i="1" s="1"/>
  <c r="N87" i="1"/>
  <c r="Q87" i="1" s="1"/>
  <c r="L89" i="1"/>
  <c r="M88" i="1"/>
  <c r="O106" i="1"/>
  <c r="P106" i="1" s="1"/>
  <c r="N106" i="1"/>
  <c r="Q106" i="1" s="1"/>
  <c r="L108" i="1"/>
  <c r="M107" i="1"/>
  <c r="M26" i="1"/>
  <c r="L27" i="1"/>
  <c r="V69" i="1"/>
  <c r="V25" i="1"/>
  <c r="O25" i="1"/>
  <c r="P25" i="1" s="1"/>
  <c r="N25" i="1"/>
  <c r="M51" i="1"/>
  <c r="V94" i="1"/>
  <c r="V50" i="1"/>
  <c r="O50" i="1"/>
  <c r="P50" i="1" s="1"/>
  <c r="N50" i="1"/>
  <c r="W69" i="1"/>
  <c r="U69" i="1"/>
  <c r="S71" i="1"/>
  <c r="T70" i="1"/>
  <c r="W88" i="1"/>
  <c r="U88" i="1"/>
  <c r="S90" i="1"/>
  <c r="T89" i="1"/>
  <c r="W25" i="1"/>
  <c r="U25" i="1"/>
  <c r="S27" i="1"/>
  <c r="T26" i="1"/>
  <c r="W44" i="1"/>
  <c r="U44" i="1"/>
  <c r="S46" i="1"/>
  <c r="T45" i="1"/>
  <c r="O107" i="1" l="1"/>
  <c r="P107" i="1" s="1"/>
  <c r="N107" i="1"/>
  <c r="Q107" i="1" s="1"/>
  <c r="L109" i="1"/>
  <c r="M108" i="1"/>
  <c r="O88" i="1"/>
  <c r="P88" i="1" s="1"/>
  <c r="N88" i="1"/>
  <c r="Q88" i="1" s="1"/>
  <c r="L90" i="1"/>
  <c r="M89" i="1"/>
  <c r="V95" i="1"/>
  <c r="V51" i="1"/>
  <c r="O51" i="1"/>
  <c r="P51" i="1" s="1"/>
  <c r="N51" i="1"/>
  <c r="M27" i="1"/>
  <c r="L28" i="1"/>
  <c r="V70" i="1"/>
  <c r="V26" i="1"/>
  <c r="O26" i="1"/>
  <c r="P26" i="1" s="1"/>
  <c r="N26" i="1"/>
  <c r="W89" i="1"/>
  <c r="U89" i="1"/>
  <c r="S91" i="1"/>
  <c r="T90" i="1"/>
  <c r="W70" i="1"/>
  <c r="U70" i="1"/>
  <c r="S72" i="1"/>
  <c r="T71" i="1"/>
  <c r="W45" i="1"/>
  <c r="U45" i="1"/>
  <c r="S47" i="1"/>
  <c r="T46" i="1"/>
  <c r="W26" i="1"/>
  <c r="U26" i="1"/>
  <c r="S28" i="1"/>
  <c r="T27" i="1"/>
  <c r="O89" i="1" l="1"/>
  <c r="P89" i="1" s="1"/>
  <c r="N89" i="1"/>
  <c r="Q89" i="1" s="1"/>
  <c r="L91" i="1"/>
  <c r="M90" i="1"/>
  <c r="O108" i="1"/>
  <c r="P108" i="1" s="1"/>
  <c r="N108" i="1"/>
  <c r="Q108" i="1" s="1"/>
  <c r="L110" i="1"/>
  <c r="M109" i="1"/>
  <c r="M28" i="1"/>
  <c r="L29" i="1"/>
  <c r="V71" i="1"/>
  <c r="V27" i="1"/>
  <c r="O27" i="1"/>
  <c r="P27" i="1" s="1"/>
  <c r="N27" i="1"/>
  <c r="W71" i="1"/>
  <c r="U71" i="1"/>
  <c r="S73" i="1"/>
  <c r="T72" i="1"/>
  <c r="W90" i="1"/>
  <c r="U90" i="1"/>
  <c r="S92" i="1"/>
  <c r="T91" i="1"/>
  <c r="W27" i="1"/>
  <c r="U27" i="1"/>
  <c r="S29" i="1"/>
  <c r="T28" i="1"/>
  <c r="W46" i="1"/>
  <c r="U46" i="1"/>
  <c r="S48" i="1"/>
  <c r="T47" i="1"/>
  <c r="O109" i="1" l="1"/>
  <c r="P109" i="1" s="1"/>
  <c r="N109" i="1"/>
  <c r="Q109" i="1" s="1"/>
  <c r="L111" i="1"/>
  <c r="M110" i="1"/>
  <c r="O90" i="1"/>
  <c r="P90" i="1" s="1"/>
  <c r="N90" i="1"/>
  <c r="Q90" i="1" s="1"/>
  <c r="L92" i="1"/>
  <c r="M91" i="1"/>
  <c r="M29" i="1"/>
  <c r="L30" i="1"/>
  <c r="V72" i="1"/>
  <c r="V28" i="1"/>
  <c r="O28" i="1"/>
  <c r="P28" i="1" s="1"/>
  <c r="N28" i="1"/>
  <c r="W91" i="1"/>
  <c r="U91" i="1"/>
  <c r="S93" i="1"/>
  <c r="T92" i="1"/>
  <c r="W72" i="1"/>
  <c r="U72" i="1"/>
  <c r="S74" i="1"/>
  <c r="T73" i="1"/>
  <c r="W47" i="1"/>
  <c r="U47" i="1"/>
  <c r="S49" i="1"/>
  <c r="T48" i="1"/>
  <c r="W28" i="1"/>
  <c r="U28" i="1"/>
  <c r="S30" i="1"/>
  <c r="T29" i="1"/>
  <c r="O91" i="1" l="1"/>
  <c r="P91" i="1" s="1"/>
  <c r="N91" i="1"/>
  <c r="Q91" i="1" s="1"/>
  <c r="M92" i="1"/>
  <c r="O110" i="1"/>
  <c r="P110" i="1" s="1"/>
  <c r="N110" i="1"/>
  <c r="Q110" i="1" s="1"/>
  <c r="L112" i="1"/>
  <c r="M111" i="1"/>
  <c r="M30" i="1"/>
  <c r="V73" i="1"/>
  <c r="V29" i="1"/>
  <c r="O29" i="1"/>
  <c r="P29" i="1" s="1"/>
  <c r="N29" i="1"/>
  <c r="W73" i="1"/>
  <c r="U73" i="1"/>
  <c r="T74" i="1"/>
  <c r="W92" i="1"/>
  <c r="U92" i="1"/>
  <c r="S94" i="1"/>
  <c r="T93" i="1"/>
  <c r="W29" i="1"/>
  <c r="U29" i="1"/>
  <c r="T30" i="1"/>
  <c r="W48" i="1"/>
  <c r="U48" i="1"/>
  <c r="S50" i="1"/>
  <c r="T49" i="1"/>
  <c r="O111" i="1" l="1"/>
  <c r="P111" i="1" s="1"/>
  <c r="N111" i="1"/>
  <c r="Q111" i="1" s="1"/>
  <c r="L113" i="1"/>
  <c r="M112" i="1"/>
  <c r="O92" i="1"/>
  <c r="P92" i="1" s="1"/>
  <c r="N92" i="1"/>
  <c r="Q92" i="1" s="1"/>
  <c r="V74" i="1"/>
  <c r="V30" i="1"/>
  <c r="O30" i="1"/>
  <c r="P30" i="1" s="1"/>
  <c r="P70" i="1" s="1"/>
  <c r="N30" i="1"/>
  <c r="W93" i="1"/>
  <c r="U93" i="1"/>
  <c r="S95" i="1"/>
  <c r="T94" i="1"/>
  <c r="W74" i="1"/>
  <c r="U74" i="1"/>
  <c r="W49" i="1"/>
  <c r="U49" i="1"/>
  <c r="S51" i="1"/>
  <c r="T50" i="1"/>
  <c r="W30" i="1"/>
  <c r="U30" i="1"/>
  <c r="O112" i="1" l="1"/>
  <c r="P112" i="1" s="1"/>
  <c r="N112" i="1"/>
  <c r="Q112" i="1" s="1"/>
  <c r="M113" i="1"/>
  <c r="O70" i="1"/>
  <c r="N70" i="1"/>
  <c r="M70" i="1"/>
  <c r="W94" i="1"/>
  <c r="U94" i="1"/>
  <c r="T95" i="1"/>
  <c r="W50" i="1"/>
  <c r="U50" i="1"/>
  <c r="T51" i="1"/>
  <c r="O113" i="1" l="1"/>
  <c r="P113" i="1" s="1"/>
  <c r="N113" i="1"/>
  <c r="Q113" i="1" s="1"/>
  <c r="W95" i="1"/>
  <c r="U95" i="1"/>
  <c r="W51" i="1"/>
  <c r="U51" i="1"/>
  <c r="C36" i="1"/>
  <c r="M119" i="1" l="1"/>
  <c r="M120" i="1"/>
  <c r="O116" i="1"/>
  <c r="P116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Q116" i="1"/>
  <c r="N116" i="1"/>
  <c r="M116" i="1"/>
  <c r="M142" i="1" l="1"/>
  <c r="O142" i="1"/>
  <c r="P142" i="1"/>
  <c r="N142" i="1"/>
  <c r="Q142" i="1" l="1"/>
  <c r="R142" i="1"/>
  <c r="S142" i="1" l="1"/>
  <c r="M145" i="1" l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T142" i="1"/>
  <c r="M169" i="1" l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68" i="1"/>
</calcChain>
</file>

<file path=xl/sharedStrings.xml><?xml version="1.0" encoding="utf-8"?>
<sst xmlns="http://schemas.openxmlformats.org/spreadsheetml/2006/main" count="67" uniqueCount="44">
  <si>
    <t xml:space="preserve">  Average Equal Weighted Returns -- Annual</t>
  </si>
  <si>
    <t>SMALL LoBM</t>
  </si>
  <si>
    <t>ME1 BM2</t>
  </si>
  <si>
    <t>SMALL HiBM</t>
  </si>
  <si>
    <t>BIG LoBM</t>
  </si>
  <si>
    <t>ME2 BM2</t>
  </si>
  <si>
    <t>BIG HiBM</t>
  </si>
  <si>
    <t>SMALL LoBM/100 
(Small/Growth)</t>
  </si>
  <si>
    <t>SMALL HiBM/100 
(Small/Value)</t>
  </si>
  <si>
    <t>Risk-free Rate</t>
  </si>
  <si>
    <t>P3/ w1(Small/Growth)</t>
  </si>
  <si>
    <t>w2(Small/Value)</t>
  </si>
  <si>
    <t>Portfolio expected return</t>
  </si>
  <si>
    <t>Variance</t>
  </si>
  <si>
    <t>Standard Deviation</t>
  </si>
  <si>
    <t>P4(+1)/ w1(Small/Growth)</t>
  </si>
  <si>
    <t>P1</t>
  </si>
  <si>
    <t>Small/Value</t>
  </si>
  <si>
    <t>Small/Growth</t>
  </si>
  <si>
    <t>average rate of return</t>
  </si>
  <si>
    <t>standard deviation</t>
  </si>
  <si>
    <t>skewness</t>
  </si>
  <si>
    <t>kurtosis</t>
  </si>
  <si>
    <t>P2</t>
  </si>
  <si>
    <t>covariance</t>
  </si>
  <si>
    <t>correlation coefficient</t>
  </si>
  <si>
    <t>P4(-1)/ w1(Small/Growth)</t>
  </si>
  <si>
    <t>P5</t>
  </si>
  <si>
    <t>w1(Small/Growth)</t>
  </si>
  <si>
    <t>P6/ w1(Small/Growth)</t>
  </si>
  <si>
    <t>Sharpe ratio</t>
  </si>
  <si>
    <t>P6</t>
  </si>
  <si>
    <t>Max Sharpe ratio</t>
  </si>
  <si>
    <t>P7 (sigma)</t>
  </si>
  <si>
    <t>y</t>
  </si>
  <si>
    <t>P8</t>
  </si>
  <si>
    <t>w(total)</t>
  </si>
  <si>
    <t>T-bills</t>
  </si>
  <si>
    <t>Complete portfolio return</t>
  </si>
  <si>
    <t>Complete portfolio std</t>
  </si>
  <si>
    <t>U (A=4)</t>
  </si>
  <si>
    <t>U (A=1)</t>
  </si>
  <si>
    <t>P8 (sigma)</t>
  </si>
  <si>
    <t>P9 (sigma)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</si>
</sst>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0" xfId="0" applyBorder="1" applyAlignment="1">
      <alignment vertical="top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P3: portfolio opportunity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{"Real"}</c:f>
              <c:strCache>
                <c:ptCount val="1"/>
                <c:pt idx="0">
                  <c:v>Real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in!P11:P51</c:f>
              <c:numCache>
                <c:formatCode>General</c:formatCode>
                <c:ptCount val="41"/>
                <c:pt idx="0">
                  <c:v>0.51010695806596562</c:v>
                </c:pt>
                <c:pt idx="1">
                  <c:v>0.49475020947297688</c:v>
                </c:pt>
                <c:pt idx="2">
                  <c:v>0.47959296016576919</c:v>
                </c:pt>
                <c:pt idx="3">
                  <c:v>0.4646547338275433</c:v>
                </c:pt>
                <c:pt idx="4">
                  <c:v>0.44995734515273172</c:v>
                </c:pt>
                <c:pt idx="5">
                  <c:v>0.43552517700612103</c:v>
                </c:pt>
                <c:pt idx="6">
                  <c:v>0.42138548114084412</c:v>
                </c:pt>
                <c:pt idx="7">
                  <c:v>0.40756869873330298</c:v>
                </c:pt>
                <c:pt idx="8">
                  <c:v>0.39410879363290557</c:v>
                </c:pt>
                <c:pt idx="9">
                  <c:v>0.38104358649789632</c:v>
                </c:pt>
                <c:pt idx="10">
                  <c:v>0.36841507157599374</c:v>
                </c:pt>
                <c:pt idx="11">
                  <c:v>0.35626968953066818</c:v>
                </c:pt>
                <c:pt idx="12">
                  <c:v>0.3446585193390439</c:v>
                </c:pt>
                <c:pt idx="13">
                  <c:v>0.33363734021906888</c:v>
                </c:pt>
                <c:pt idx="14">
                  <c:v>0.32326650179796951</c:v>
                </c:pt>
                <c:pt idx="15">
                  <c:v>0.31361052938590539</c:v>
                </c:pt>
                <c:pt idx="16">
                  <c:v>0.30473738474215512</c:v>
                </c:pt>
                <c:pt idx="17">
                  <c:v>0.29671730609797259</c:v>
                </c:pt>
                <c:pt idx="18">
                  <c:v>0.28962117045781877</c:v>
                </c:pt>
                <c:pt idx="19">
                  <c:v>0.28351836197580771</c:v>
                </c:pt>
                <c:pt idx="20">
                  <c:v>0.27847419510306987</c:v>
                </c:pt>
                <c:pt idx="21">
                  <c:v>0.27454702631776828</c:v>
                </c:pt>
                <c:pt idx="22">
                  <c:v>0.27178528021643367</c:v>
                </c:pt>
                <c:pt idx="23">
                  <c:v>0.27022469166508567</c:v>
                </c:pt>
                <c:pt idx="24">
                  <c:v>0.26988609817740733</c:v>
                </c:pt>
                <c:pt idx="25">
                  <c:v>0.27077408397800729</c:v>
                </c:pt>
                <c:pt idx="26">
                  <c:v>0.27287667485441475</c:v>
                </c:pt>
                <c:pt idx="27">
                  <c:v>0.27616613001207135</c:v>
                </c:pt>
                <c:pt idx="28">
                  <c:v>0.28060071206762088</c:v>
                </c:pt>
                <c:pt idx="29">
                  <c:v>0.2861271822470503</c:v>
                </c:pt>
                <c:pt idx="30">
                  <c:v>0.2926836958034848</c:v>
                </c:pt>
                <c:pt idx="31">
                  <c:v>0.30020277100404352</c:v>
                </c:pt>
                <c:pt idx="32">
                  <c:v>0.30861406028986238</c:v>
                </c:pt>
                <c:pt idx="33">
                  <c:v>0.3178467386327139</c:v>
                </c:pt>
                <c:pt idx="34">
                  <c:v>0.32783141532055754</c:v>
                </c:pt>
                <c:pt idx="35">
                  <c:v>0.33850155249788189</c:v>
                </c:pt>
                <c:pt idx="36">
                  <c:v>0.34979442788106557</c:v>
                </c:pt>
                <c:pt idx="37">
                  <c:v>0.36165170961931992</c:v>
                </c:pt>
                <c:pt idx="38">
                  <c:v>0.37401972264211031</c:v>
                </c:pt>
                <c:pt idx="39">
                  <c:v>0.38684948409007169</c:v>
                </c:pt>
                <c:pt idx="40">
                  <c:v>0.40009657623753464</c:v>
                </c:pt>
              </c:numCache>
            </c:numRef>
          </c:xVal>
          <c:yVal>
            <c:numRef>
              <c:f>in!N11:N51</c:f>
              <c:numCache>
                <c:formatCode>General</c:formatCode>
                <c:ptCount val="41"/>
                <c:pt idx="0">
                  <c:v>0.21794955000000016</c:v>
                </c:pt>
                <c:pt idx="1">
                  <c:v>0.2134749100000001</c:v>
                </c:pt>
                <c:pt idx="2">
                  <c:v>0.20900027000000013</c:v>
                </c:pt>
                <c:pt idx="3">
                  <c:v>0.20452563000000012</c:v>
                </c:pt>
                <c:pt idx="4">
                  <c:v>0.20005099000000007</c:v>
                </c:pt>
                <c:pt idx="5">
                  <c:v>0.19557635000000007</c:v>
                </c:pt>
                <c:pt idx="6">
                  <c:v>0.19110171000000009</c:v>
                </c:pt>
                <c:pt idx="7">
                  <c:v>0.18662707000000009</c:v>
                </c:pt>
                <c:pt idx="8">
                  <c:v>0.18215243000000003</c:v>
                </c:pt>
                <c:pt idx="9">
                  <c:v>0.17767779000000006</c:v>
                </c:pt>
                <c:pt idx="10">
                  <c:v>0.17320315000000003</c:v>
                </c:pt>
                <c:pt idx="11">
                  <c:v>0.16872851000000005</c:v>
                </c:pt>
                <c:pt idx="12">
                  <c:v>0.16425387000000005</c:v>
                </c:pt>
                <c:pt idx="13">
                  <c:v>0.15977923000000002</c:v>
                </c:pt>
                <c:pt idx="14">
                  <c:v>0.15530459000000002</c:v>
                </c:pt>
                <c:pt idx="15">
                  <c:v>0.15082995000000002</c:v>
                </c:pt>
                <c:pt idx="16">
                  <c:v>0.14635531000000004</c:v>
                </c:pt>
                <c:pt idx="17">
                  <c:v>0.14188067000000001</c:v>
                </c:pt>
                <c:pt idx="18">
                  <c:v>0.13740603000000001</c:v>
                </c:pt>
                <c:pt idx="19">
                  <c:v>0.13293139000000001</c:v>
                </c:pt>
                <c:pt idx="20">
                  <c:v>0.12845675000000004</c:v>
                </c:pt>
                <c:pt idx="21">
                  <c:v>0.12398211000000003</c:v>
                </c:pt>
                <c:pt idx="22">
                  <c:v>0.11950747000000003</c:v>
                </c:pt>
                <c:pt idx="23">
                  <c:v>0.11503283000000002</c:v>
                </c:pt>
                <c:pt idx="24">
                  <c:v>0.11055819000000001</c:v>
                </c:pt>
                <c:pt idx="25">
                  <c:v>0.10608355000000001</c:v>
                </c:pt>
                <c:pt idx="26">
                  <c:v>0.10160891000000001</c:v>
                </c:pt>
                <c:pt idx="27">
                  <c:v>9.7134269999999995E-2</c:v>
                </c:pt>
                <c:pt idx="28">
                  <c:v>9.2659630000000007E-2</c:v>
                </c:pt>
                <c:pt idx="29">
                  <c:v>8.8184989999999991E-2</c:v>
                </c:pt>
                <c:pt idx="30">
                  <c:v>8.3710349999999975E-2</c:v>
                </c:pt>
                <c:pt idx="31">
                  <c:v>7.9235709999999987E-2</c:v>
                </c:pt>
                <c:pt idx="32">
                  <c:v>7.4761069999999985E-2</c:v>
                </c:pt>
                <c:pt idx="33">
                  <c:v>7.0286429999999969E-2</c:v>
                </c:pt>
                <c:pt idx="34">
                  <c:v>6.5811789999999967E-2</c:v>
                </c:pt>
                <c:pt idx="35">
                  <c:v>6.1337149999999965E-2</c:v>
                </c:pt>
                <c:pt idx="36">
                  <c:v>5.6862509999999949E-2</c:v>
                </c:pt>
                <c:pt idx="37">
                  <c:v>5.2387869999999934E-2</c:v>
                </c:pt>
                <c:pt idx="38">
                  <c:v>4.7913229999999918E-2</c:v>
                </c:pt>
                <c:pt idx="39">
                  <c:v>4.343858999999993E-2</c:v>
                </c:pt>
                <c:pt idx="40">
                  <c:v>3.8963949999999914E-2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A3-4089-89E1-5F9C6423C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77223"/>
        <c:axId val="1448779271"/>
      </c:scatterChart>
      <c:valAx>
        <c:axId val="1448777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79271"/>
        <c:crosses val="autoZero"/>
        <c:crossBetween val="midCat"/>
      </c:valAx>
      <c:valAx>
        <c:axId val="1448779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77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P4: portfolio opportunity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{"portfolio"}</c:f>
              <c:strCache>
                <c:ptCount val="1"/>
                <c:pt idx="0">
                  <c:v>portfolio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in!P11:P51</c:f>
              <c:numCache>
                <c:formatCode>General</c:formatCode>
                <c:ptCount val="41"/>
                <c:pt idx="0">
                  <c:v>0.51010695806596562</c:v>
                </c:pt>
                <c:pt idx="1">
                  <c:v>0.49475020947297688</c:v>
                </c:pt>
                <c:pt idx="2">
                  <c:v>0.47959296016576919</c:v>
                </c:pt>
                <c:pt idx="3">
                  <c:v>0.4646547338275433</c:v>
                </c:pt>
                <c:pt idx="4">
                  <c:v>0.44995734515273172</c:v>
                </c:pt>
                <c:pt idx="5">
                  <c:v>0.43552517700612103</c:v>
                </c:pt>
                <c:pt idx="6">
                  <c:v>0.42138548114084412</c:v>
                </c:pt>
                <c:pt idx="7">
                  <c:v>0.40756869873330298</c:v>
                </c:pt>
                <c:pt idx="8">
                  <c:v>0.39410879363290557</c:v>
                </c:pt>
                <c:pt idx="9">
                  <c:v>0.38104358649789632</c:v>
                </c:pt>
                <c:pt idx="10">
                  <c:v>0.36841507157599374</c:v>
                </c:pt>
                <c:pt idx="11">
                  <c:v>0.35626968953066818</c:v>
                </c:pt>
                <c:pt idx="12">
                  <c:v>0.3446585193390439</c:v>
                </c:pt>
                <c:pt idx="13">
                  <c:v>0.33363734021906888</c:v>
                </c:pt>
                <c:pt idx="14">
                  <c:v>0.32326650179796951</c:v>
                </c:pt>
                <c:pt idx="15">
                  <c:v>0.31361052938590539</c:v>
                </c:pt>
                <c:pt idx="16">
                  <c:v>0.30473738474215512</c:v>
                </c:pt>
                <c:pt idx="17">
                  <c:v>0.29671730609797259</c:v>
                </c:pt>
                <c:pt idx="18">
                  <c:v>0.28962117045781877</c:v>
                </c:pt>
                <c:pt idx="19">
                  <c:v>0.28351836197580771</c:v>
                </c:pt>
                <c:pt idx="20">
                  <c:v>0.27847419510306987</c:v>
                </c:pt>
                <c:pt idx="21">
                  <c:v>0.27454702631776828</c:v>
                </c:pt>
                <c:pt idx="22">
                  <c:v>0.27178528021643367</c:v>
                </c:pt>
                <c:pt idx="23">
                  <c:v>0.27022469166508567</c:v>
                </c:pt>
                <c:pt idx="24">
                  <c:v>0.26988609817740733</c:v>
                </c:pt>
                <c:pt idx="25">
                  <c:v>0.27077408397800729</c:v>
                </c:pt>
                <c:pt idx="26">
                  <c:v>0.27287667485441475</c:v>
                </c:pt>
                <c:pt idx="27">
                  <c:v>0.27616613001207135</c:v>
                </c:pt>
                <c:pt idx="28">
                  <c:v>0.28060071206762088</c:v>
                </c:pt>
                <c:pt idx="29">
                  <c:v>0.2861271822470503</c:v>
                </c:pt>
                <c:pt idx="30">
                  <c:v>0.2926836958034848</c:v>
                </c:pt>
                <c:pt idx="31">
                  <c:v>0.30020277100404352</c:v>
                </c:pt>
                <c:pt idx="32">
                  <c:v>0.30861406028986238</c:v>
                </c:pt>
                <c:pt idx="33">
                  <c:v>0.3178467386327139</c:v>
                </c:pt>
                <c:pt idx="34">
                  <c:v>0.32783141532055754</c:v>
                </c:pt>
                <c:pt idx="35">
                  <c:v>0.33850155249788189</c:v>
                </c:pt>
                <c:pt idx="36">
                  <c:v>0.34979442788106557</c:v>
                </c:pt>
                <c:pt idx="37">
                  <c:v>0.36165170961931992</c:v>
                </c:pt>
                <c:pt idx="38">
                  <c:v>0.37401972264211031</c:v>
                </c:pt>
                <c:pt idx="39">
                  <c:v>0.38684948409007169</c:v>
                </c:pt>
                <c:pt idx="40">
                  <c:v>0.40009657623753464</c:v>
                </c:pt>
              </c:numCache>
            </c:numRef>
          </c:xVal>
          <c:yVal>
            <c:numRef>
              <c:f>in!N11:N51</c:f>
              <c:numCache>
                <c:formatCode>General</c:formatCode>
                <c:ptCount val="41"/>
                <c:pt idx="0">
                  <c:v>0.21794955000000016</c:v>
                </c:pt>
                <c:pt idx="1">
                  <c:v>0.2134749100000001</c:v>
                </c:pt>
                <c:pt idx="2">
                  <c:v>0.20900027000000013</c:v>
                </c:pt>
                <c:pt idx="3">
                  <c:v>0.20452563000000012</c:v>
                </c:pt>
                <c:pt idx="4">
                  <c:v>0.20005099000000007</c:v>
                </c:pt>
                <c:pt idx="5">
                  <c:v>0.19557635000000007</c:v>
                </c:pt>
                <c:pt idx="6">
                  <c:v>0.19110171000000009</c:v>
                </c:pt>
                <c:pt idx="7">
                  <c:v>0.18662707000000009</c:v>
                </c:pt>
                <c:pt idx="8">
                  <c:v>0.18215243000000003</c:v>
                </c:pt>
                <c:pt idx="9">
                  <c:v>0.17767779000000006</c:v>
                </c:pt>
                <c:pt idx="10">
                  <c:v>0.17320315000000003</c:v>
                </c:pt>
                <c:pt idx="11">
                  <c:v>0.16872851000000005</c:v>
                </c:pt>
                <c:pt idx="12">
                  <c:v>0.16425387000000005</c:v>
                </c:pt>
                <c:pt idx="13">
                  <c:v>0.15977923000000002</c:v>
                </c:pt>
                <c:pt idx="14">
                  <c:v>0.15530459000000002</c:v>
                </c:pt>
                <c:pt idx="15">
                  <c:v>0.15082995000000002</c:v>
                </c:pt>
                <c:pt idx="16">
                  <c:v>0.14635531000000004</c:v>
                </c:pt>
                <c:pt idx="17">
                  <c:v>0.14188067000000001</c:v>
                </c:pt>
                <c:pt idx="18">
                  <c:v>0.13740603000000001</c:v>
                </c:pt>
                <c:pt idx="19">
                  <c:v>0.13293139000000001</c:v>
                </c:pt>
                <c:pt idx="20">
                  <c:v>0.12845675000000004</c:v>
                </c:pt>
                <c:pt idx="21">
                  <c:v>0.12398211000000003</c:v>
                </c:pt>
                <c:pt idx="22">
                  <c:v>0.11950747000000003</c:v>
                </c:pt>
                <c:pt idx="23">
                  <c:v>0.11503283000000002</c:v>
                </c:pt>
                <c:pt idx="24">
                  <c:v>0.11055819000000001</c:v>
                </c:pt>
                <c:pt idx="25">
                  <c:v>0.10608355000000001</c:v>
                </c:pt>
                <c:pt idx="26">
                  <c:v>0.10160891000000001</c:v>
                </c:pt>
                <c:pt idx="27">
                  <c:v>9.7134269999999995E-2</c:v>
                </c:pt>
                <c:pt idx="28">
                  <c:v>9.2659630000000007E-2</c:v>
                </c:pt>
                <c:pt idx="29">
                  <c:v>8.8184989999999991E-2</c:v>
                </c:pt>
                <c:pt idx="30">
                  <c:v>8.3710349999999975E-2</c:v>
                </c:pt>
                <c:pt idx="31">
                  <c:v>7.9235709999999987E-2</c:v>
                </c:pt>
                <c:pt idx="32">
                  <c:v>7.4761069999999985E-2</c:v>
                </c:pt>
                <c:pt idx="33">
                  <c:v>7.0286429999999969E-2</c:v>
                </c:pt>
                <c:pt idx="34">
                  <c:v>6.5811789999999967E-2</c:v>
                </c:pt>
                <c:pt idx="35">
                  <c:v>6.1337149999999965E-2</c:v>
                </c:pt>
                <c:pt idx="36">
                  <c:v>5.6862509999999949E-2</c:v>
                </c:pt>
                <c:pt idx="37">
                  <c:v>5.2387869999999934E-2</c:v>
                </c:pt>
                <c:pt idx="38">
                  <c:v>4.7913229999999918E-2</c:v>
                </c:pt>
                <c:pt idx="39">
                  <c:v>4.343858999999993E-2</c:v>
                </c:pt>
                <c:pt idx="40">
                  <c:v>3.8963949999999914E-2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8D-4843-A761-0A1300BAF256}"/>
            </c:ext>
          </c:extLst>
        </c:ser>
        <c:ser>
          <c:idx val="1"/>
          <c:order val="1"/>
          <c:tx>
            <c:strRef>
              <c:f>{"coefficients=+1"}</c:f>
              <c:strCache>
                <c:ptCount val="1"/>
                <c:pt idx="0">
                  <c:v>coefficients=+1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in!W11:W51</c:f>
              <c:numCache>
                <c:formatCode>General</c:formatCode>
                <c:ptCount val="41"/>
                <c:pt idx="0">
                  <c:v>0.25005519370224011</c:v>
                </c:pt>
                <c:pt idx="1">
                  <c:v>0.25147614377228161</c:v>
                </c:pt>
                <c:pt idx="2">
                  <c:v>0.25289709384232301</c:v>
                </c:pt>
                <c:pt idx="3">
                  <c:v>0.25431804391236457</c:v>
                </c:pt>
                <c:pt idx="4">
                  <c:v>0.25573899398240624</c:v>
                </c:pt>
                <c:pt idx="5">
                  <c:v>0.25715994405244774</c:v>
                </c:pt>
                <c:pt idx="6">
                  <c:v>0.25858089412248897</c:v>
                </c:pt>
                <c:pt idx="7">
                  <c:v>0.26000184419253064</c:v>
                </c:pt>
                <c:pt idx="8">
                  <c:v>0.26142279426257209</c:v>
                </c:pt>
                <c:pt idx="9">
                  <c:v>0.26284374433261354</c:v>
                </c:pt>
                <c:pt idx="10">
                  <c:v>0.26426469440265493</c:v>
                </c:pt>
                <c:pt idx="11">
                  <c:v>0.26568564447269649</c:v>
                </c:pt>
                <c:pt idx="12">
                  <c:v>0.26710659454273794</c:v>
                </c:pt>
                <c:pt idx="13">
                  <c:v>0.26852754461277945</c:v>
                </c:pt>
                <c:pt idx="14">
                  <c:v>0.26994849468282084</c:v>
                </c:pt>
                <c:pt idx="15">
                  <c:v>0.27136944475286245</c:v>
                </c:pt>
                <c:pt idx="16">
                  <c:v>0.27279039482290396</c:v>
                </c:pt>
                <c:pt idx="17">
                  <c:v>0.27421134489294541</c:v>
                </c:pt>
                <c:pt idx="18">
                  <c:v>0.27563229496298691</c:v>
                </c:pt>
                <c:pt idx="19">
                  <c:v>0.27705324503302836</c:v>
                </c:pt>
                <c:pt idx="20">
                  <c:v>0.27847419510306987</c:v>
                </c:pt>
                <c:pt idx="21">
                  <c:v>0.27989514517311137</c:v>
                </c:pt>
                <c:pt idx="22">
                  <c:v>0.28131609524315287</c:v>
                </c:pt>
                <c:pt idx="23">
                  <c:v>0.28273704531319432</c:v>
                </c:pt>
                <c:pt idx="24">
                  <c:v>0.28415799538323583</c:v>
                </c:pt>
                <c:pt idx="25">
                  <c:v>0.28557894545327733</c:v>
                </c:pt>
                <c:pt idx="26">
                  <c:v>0.28699989552331878</c:v>
                </c:pt>
                <c:pt idx="27">
                  <c:v>0.28842084559336034</c:v>
                </c:pt>
                <c:pt idx="28">
                  <c:v>0.28984179566340179</c:v>
                </c:pt>
                <c:pt idx="29">
                  <c:v>0.2912627457334433</c:v>
                </c:pt>
                <c:pt idx="30">
                  <c:v>0.2926836958034848</c:v>
                </c:pt>
                <c:pt idx="31">
                  <c:v>0.2941046458735263</c:v>
                </c:pt>
                <c:pt idx="32">
                  <c:v>0.29552559594356775</c:v>
                </c:pt>
                <c:pt idx="33">
                  <c:v>0.29694654601360931</c:v>
                </c:pt>
                <c:pt idx="34">
                  <c:v>0.29836749608365082</c:v>
                </c:pt>
                <c:pt idx="35">
                  <c:v>0.29978844615369232</c:v>
                </c:pt>
                <c:pt idx="36">
                  <c:v>0.30120939622373383</c:v>
                </c:pt>
                <c:pt idx="37">
                  <c:v>0.30263034629377522</c:v>
                </c:pt>
                <c:pt idx="38">
                  <c:v>0.30405129636381678</c:v>
                </c:pt>
                <c:pt idx="39">
                  <c:v>0.30547224643385829</c:v>
                </c:pt>
                <c:pt idx="40">
                  <c:v>0.30689319650389979</c:v>
                </c:pt>
              </c:numCache>
            </c:numRef>
          </c:xVal>
          <c:yVal>
            <c:numRef>
              <c:f>in!U11:U51</c:f>
              <c:numCache>
                <c:formatCode>General</c:formatCode>
                <c:ptCount val="41"/>
                <c:pt idx="0">
                  <c:v>0.21794955000000016</c:v>
                </c:pt>
                <c:pt idx="1">
                  <c:v>0.2134749100000001</c:v>
                </c:pt>
                <c:pt idx="2">
                  <c:v>0.20900027000000013</c:v>
                </c:pt>
                <c:pt idx="3">
                  <c:v>0.20452563000000012</c:v>
                </c:pt>
                <c:pt idx="4">
                  <c:v>0.20005099000000007</c:v>
                </c:pt>
                <c:pt idx="5">
                  <c:v>0.19557635000000007</c:v>
                </c:pt>
                <c:pt idx="6">
                  <c:v>0.19110171000000009</c:v>
                </c:pt>
                <c:pt idx="7">
                  <c:v>0.18662707000000009</c:v>
                </c:pt>
                <c:pt idx="8">
                  <c:v>0.18215243000000003</c:v>
                </c:pt>
                <c:pt idx="9">
                  <c:v>0.17767779000000006</c:v>
                </c:pt>
                <c:pt idx="10">
                  <c:v>0.17320315000000003</c:v>
                </c:pt>
                <c:pt idx="11">
                  <c:v>0.16872851000000005</c:v>
                </c:pt>
                <c:pt idx="12">
                  <c:v>0.16425387000000005</c:v>
                </c:pt>
                <c:pt idx="13">
                  <c:v>0.15977923000000002</c:v>
                </c:pt>
                <c:pt idx="14">
                  <c:v>0.15530459000000002</c:v>
                </c:pt>
                <c:pt idx="15">
                  <c:v>0.15082995000000002</c:v>
                </c:pt>
                <c:pt idx="16">
                  <c:v>0.14635531000000004</c:v>
                </c:pt>
                <c:pt idx="17">
                  <c:v>0.14188067000000001</c:v>
                </c:pt>
                <c:pt idx="18">
                  <c:v>0.13740603000000001</c:v>
                </c:pt>
                <c:pt idx="19">
                  <c:v>0.13293139000000001</c:v>
                </c:pt>
                <c:pt idx="20">
                  <c:v>0.12845675000000004</c:v>
                </c:pt>
                <c:pt idx="21">
                  <c:v>0.12398211000000003</c:v>
                </c:pt>
                <c:pt idx="22">
                  <c:v>0.11950747000000003</c:v>
                </c:pt>
                <c:pt idx="23">
                  <c:v>0.11503283000000002</c:v>
                </c:pt>
                <c:pt idx="24">
                  <c:v>0.11055819000000001</c:v>
                </c:pt>
                <c:pt idx="25">
                  <c:v>0.10608355000000001</c:v>
                </c:pt>
                <c:pt idx="26">
                  <c:v>0.10160891000000001</c:v>
                </c:pt>
                <c:pt idx="27">
                  <c:v>9.7134269999999995E-2</c:v>
                </c:pt>
                <c:pt idx="28">
                  <c:v>9.2659630000000007E-2</c:v>
                </c:pt>
                <c:pt idx="29">
                  <c:v>8.8184989999999991E-2</c:v>
                </c:pt>
                <c:pt idx="30">
                  <c:v>8.3710349999999975E-2</c:v>
                </c:pt>
                <c:pt idx="31">
                  <c:v>7.9235709999999987E-2</c:v>
                </c:pt>
                <c:pt idx="32">
                  <c:v>7.4761069999999985E-2</c:v>
                </c:pt>
                <c:pt idx="33">
                  <c:v>7.0286429999999969E-2</c:v>
                </c:pt>
                <c:pt idx="34">
                  <c:v>6.5811789999999967E-2</c:v>
                </c:pt>
                <c:pt idx="35">
                  <c:v>6.1337149999999965E-2</c:v>
                </c:pt>
                <c:pt idx="36">
                  <c:v>5.6862509999999949E-2</c:v>
                </c:pt>
                <c:pt idx="37">
                  <c:v>5.2387869999999934E-2</c:v>
                </c:pt>
                <c:pt idx="38">
                  <c:v>4.7913229999999918E-2</c:v>
                </c:pt>
                <c:pt idx="39">
                  <c:v>4.343858999999993E-2</c:v>
                </c:pt>
                <c:pt idx="40">
                  <c:v>3.8963949999999914E-2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4E-4D0C-8CD2-C253973A9ED1}"/>
            </c:ext>
          </c:extLst>
        </c:ser>
        <c:ser>
          <c:idx val="2"/>
          <c:order val="2"/>
          <c:tx>
            <c:strRef>
              <c:f>{"coefficients=-1"}</c:f>
              <c:strCache>
                <c:ptCount val="1"/>
                <c:pt idx="0">
                  <c:v>coefficients=-1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in!W55:W95</c:f>
              <c:numCache>
                <c:formatCode>General</c:formatCode>
                <c:ptCount val="41"/>
                <c:pt idx="0">
                  <c:v>1.4207899769161791</c:v>
                </c:pt>
                <c:pt idx="1">
                  <c:v>1.3636741878255236</c:v>
                </c:pt>
                <c:pt idx="2">
                  <c:v>1.3065583987348681</c:v>
                </c:pt>
                <c:pt idx="3">
                  <c:v>1.2494426096442126</c:v>
                </c:pt>
                <c:pt idx="4">
                  <c:v>1.1923268205535571</c:v>
                </c:pt>
                <c:pt idx="5">
                  <c:v>1.1352110314629016</c:v>
                </c:pt>
                <c:pt idx="6">
                  <c:v>1.0780952423722461</c:v>
                </c:pt>
                <c:pt idx="7">
                  <c:v>1.0209794532815906</c:v>
                </c:pt>
                <c:pt idx="8">
                  <c:v>0.96386366419093505</c:v>
                </c:pt>
                <c:pt idx="9">
                  <c:v>0.90674787510027954</c:v>
                </c:pt>
                <c:pt idx="10">
                  <c:v>0.84963208600962403</c:v>
                </c:pt>
                <c:pt idx="11">
                  <c:v>0.79251629691896863</c:v>
                </c:pt>
                <c:pt idx="12">
                  <c:v>0.73540050782831312</c:v>
                </c:pt>
                <c:pt idx="13">
                  <c:v>0.67828471873765772</c:v>
                </c:pt>
                <c:pt idx="14">
                  <c:v>0.62116892964700221</c:v>
                </c:pt>
                <c:pt idx="15">
                  <c:v>0.56405314055634681</c:v>
                </c:pt>
                <c:pt idx="16">
                  <c:v>0.50693735146569141</c:v>
                </c:pt>
                <c:pt idx="17">
                  <c:v>0.44982156237503595</c:v>
                </c:pt>
                <c:pt idx="18">
                  <c:v>0.39270577328438039</c:v>
                </c:pt>
                <c:pt idx="19">
                  <c:v>0.33558998419372499</c:v>
                </c:pt>
                <c:pt idx="20">
                  <c:v>0.27847419510306987</c:v>
                </c:pt>
                <c:pt idx="21">
                  <c:v>0.22135840601241441</c:v>
                </c:pt>
                <c:pt idx="22">
                  <c:v>0.16424261692175895</c:v>
                </c:pt>
                <c:pt idx="23">
                  <c:v>0.10712682783110342</c:v>
                </c:pt>
                <c:pt idx="24">
                  <c:v>5.0011038740448065E-2</c:v>
                </c:pt>
                <c:pt idx="25">
                  <c:v>7.1047503502074281E-3</c:v>
                </c:pt>
                <c:pt idx="26">
                  <c:v>6.4220539440862964E-2</c:v>
                </c:pt>
                <c:pt idx="27">
                  <c:v>0.12133632853151839</c:v>
                </c:pt>
                <c:pt idx="28">
                  <c:v>0.17845211762217386</c:v>
                </c:pt>
                <c:pt idx="29">
                  <c:v>0.23556790671282929</c:v>
                </c:pt>
                <c:pt idx="30">
                  <c:v>0.2926836958034848</c:v>
                </c:pt>
                <c:pt idx="31">
                  <c:v>0.3497994848941402</c:v>
                </c:pt>
                <c:pt idx="32">
                  <c:v>0.40691527398479571</c:v>
                </c:pt>
                <c:pt idx="33">
                  <c:v>0.46403106307545122</c:v>
                </c:pt>
                <c:pt idx="34">
                  <c:v>0.52114685216610679</c:v>
                </c:pt>
                <c:pt idx="35">
                  <c:v>0.5782626412567623</c:v>
                </c:pt>
                <c:pt idx="36">
                  <c:v>0.63537843034741781</c:v>
                </c:pt>
                <c:pt idx="37">
                  <c:v>0.69249421943807332</c:v>
                </c:pt>
                <c:pt idx="38">
                  <c:v>0.74961000852872883</c:v>
                </c:pt>
                <c:pt idx="39">
                  <c:v>0.80672579761938434</c:v>
                </c:pt>
                <c:pt idx="40">
                  <c:v>0.86384158671003974</c:v>
                </c:pt>
              </c:numCache>
            </c:numRef>
          </c:xVal>
          <c:yVal>
            <c:numRef>
              <c:f>in!U55:U95</c:f>
              <c:numCache>
                <c:formatCode>General</c:formatCode>
                <c:ptCount val="41"/>
                <c:pt idx="0">
                  <c:v>0.21794955000000016</c:v>
                </c:pt>
                <c:pt idx="1">
                  <c:v>0.2134749100000001</c:v>
                </c:pt>
                <c:pt idx="2">
                  <c:v>0.20900027000000013</c:v>
                </c:pt>
                <c:pt idx="3">
                  <c:v>0.20452563000000012</c:v>
                </c:pt>
                <c:pt idx="4">
                  <c:v>0.20005099000000007</c:v>
                </c:pt>
                <c:pt idx="5">
                  <c:v>0.19557635000000007</c:v>
                </c:pt>
                <c:pt idx="6">
                  <c:v>0.19110171000000009</c:v>
                </c:pt>
                <c:pt idx="7">
                  <c:v>0.18662707000000009</c:v>
                </c:pt>
                <c:pt idx="8">
                  <c:v>0.18215243000000003</c:v>
                </c:pt>
                <c:pt idx="9">
                  <c:v>0.17767779000000006</c:v>
                </c:pt>
                <c:pt idx="10">
                  <c:v>0.17320315000000003</c:v>
                </c:pt>
                <c:pt idx="11">
                  <c:v>0.16872851000000005</c:v>
                </c:pt>
                <c:pt idx="12">
                  <c:v>0.16425387000000005</c:v>
                </c:pt>
                <c:pt idx="13">
                  <c:v>0.15977923000000002</c:v>
                </c:pt>
                <c:pt idx="14">
                  <c:v>0.15530459000000002</c:v>
                </c:pt>
                <c:pt idx="15">
                  <c:v>0.15082995000000002</c:v>
                </c:pt>
                <c:pt idx="16">
                  <c:v>0.14635531000000004</c:v>
                </c:pt>
                <c:pt idx="17">
                  <c:v>0.14188067000000001</c:v>
                </c:pt>
                <c:pt idx="18">
                  <c:v>0.13740603000000001</c:v>
                </c:pt>
                <c:pt idx="19">
                  <c:v>0.13293139000000001</c:v>
                </c:pt>
                <c:pt idx="20">
                  <c:v>0.12845675000000004</c:v>
                </c:pt>
                <c:pt idx="21">
                  <c:v>0.12398211000000003</c:v>
                </c:pt>
                <c:pt idx="22">
                  <c:v>0.11950747000000003</c:v>
                </c:pt>
                <c:pt idx="23">
                  <c:v>0.11503283000000002</c:v>
                </c:pt>
                <c:pt idx="24">
                  <c:v>0.11055819000000001</c:v>
                </c:pt>
                <c:pt idx="25">
                  <c:v>0.10608355000000001</c:v>
                </c:pt>
                <c:pt idx="26">
                  <c:v>0.10160891000000001</c:v>
                </c:pt>
                <c:pt idx="27">
                  <c:v>9.7134269999999995E-2</c:v>
                </c:pt>
                <c:pt idx="28">
                  <c:v>9.2659630000000007E-2</c:v>
                </c:pt>
                <c:pt idx="29">
                  <c:v>8.8184989999999991E-2</c:v>
                </c:pt>
                <c:pt idx="30">
                  <c:v>8.3710349999999975E-2</c:v>
                </c:pt>
                <c:pt idx="31">
                  <c:v>7.9235709999999987E-2</c:v>
                </c:pt>
                <c:pt idx="32">
                  <c:v>7.4761069999999985E-2</c:v>
                </c:pt>
                <c:pt idx="33">
                  <c:v>7.0286429999999969E-2</c:v>
                </c:pt>
                <c:pt idx="34">
                  <c:v>6.5811789999999967E-2</c:v>
                </c:pt>
                <c:pt idx="35">
                  <c:v>6.1337149999999965E-2</c:v>
                </c:pt>
                <c:pt idx="36">
                  <c:v>5.6862509999999949E-2</c:v>
                </c:pt>
                <c:pt idx="37">
                  <c:v>5.2387869999999934E-2</c:v>
                </c:pt>
                <c:pt idx="38">
                  <c:v>4.7913229999999918E-2</c:v>
                </c:pt>
                <c:pt idx="39">
                  <c:v>4.343858999999993E-2</c:v>
                </c:pt>
                <c:pt idx="40">
                  <c:v>3.8963949999999914E-2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A6-4A9A-9EEE-B945F555A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77223"/>
        <c:axId val="1448779271"/>
      </c:scatterChart>
      <c:valAx>
        <c:axId val="1448777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79271"/>
        <c:crosses val="autoZero"/>
        <c:crossBetween val="midCat"/>
      </c:valAx>
      <c:valAx>
        <c:axId val="1448779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77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P7: portfolio opportunity</a:t>
            </a:r>
          </a:p>
        </c:rich>
      </c:tx>
      <c:layout>
        <c:manualLayout>
          <c:xMode val="edge"/>
          <c:yMode val="edge"/>
          <c:x val="0.31660442532341182"/>
          <c:y val="2.87452642926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{"CAL"}</c:f>
              <c:strCache>
                <c:ptCount val="1"/>
                <c:pt idx="0">
                  <c:v>CAL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in!L119:L139</c:f>
              <c:numCache>
                <c:formatCode>General</c:formatCode>
                <c:ptCount val="2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</c:numCache>
            </c:numRef>
          </c:xVal>
          <c:yVal>
            <c:numRef>
              <c:f>in!M119:M139</c:f>
              <c:numCache>
                <c:formatCode>General</c:formatCode>
                <c:ptCount val="21"/>
                <c:pt idx="0">
                  <c:v>1.6375000000000001E-2</c:v>
                </c:pt>
                <c:pt idx="1">
                  <c:v>2.4971413693133972E-2</c:v>
                </c:pt>
                <c:pt idx="2">
                  <c:v>3.3567827386267943E-2</c:v>
                </c:pt>
                <c:pt idx="3">
                  <c:v>4.2164241079401907E-2</c:v>
                </c:pt>
                <c:pt idx="4">
                  <c:v>5.0760654772535878E-2</c:v>
                </c:pt>
                <c:pt idx="5">
                  <c:v>5.9357068465669849E-2</c:v>
                </c:pt>
                <c:pt idx="6">
                  <c:v>6.7953482158803813E-2</c:v>
                </c:pt>
                <c:pt idx="7">
                  <c:v>7.6549895851937791E-2</c:v>
                </c:pt>
                <c:pt idx="8">
                  <c:v>8.5146309545071755E-2</c:v>
                </c:pt>
                <c:pt idx="9">
                  <c:v>9.3742723238205719E-2</c:v>
                </c:pt>
                <c:pt idx="10">
                  <c:v>0.1023391369313397</c:v>
                </c:pt>
                <c:pt idx="11">
                  <c:v>0.11093555062447366</c:v>
                </c:pt>
                <c:pt idx="12">
                  <c:v>0.11953196431760764</c:v>
                </c:pt>
                <c:pt idx="13">
                  <c:v>0.12812837801074162</c:v>
                </c:pt>
                <c:pt idx="14">
                  <c:v>0.13672479170387558</c:v>
                </c:pt>
                <c:pt idx="15">
                  <c:v>0.14532120539700955</c:v>
                </c:pt>
                <c:pt idx="16">
                  <c:v>0.15391761909014351</c:v>
                </c:pt>
                <c:pt idx="17">
                  <c:v>0.1625140327832775</c:v>
                </c:pt>
                <c:pt idx="18">
                  <c:v>0.17111044647641144</c:v>
                </c:pt>
                <c:pt idx="19">
                  <c:v>0.17970686016954543</c:v>
                </c:pt>
                <c:pt idx="20">
                  <c:v>0.18830327386267939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82-490B-9F71-27D30CE91B87}"/>
            </c:ext>
          </c:extLst>
        </c:ser>
        <c:ser>
          <c:idx val="1"/>
          <c:order val="1"/>
          <c:tx>
            <c:strRef>
              <c:f>{"portfolio"}</c:f>
              <c:strCache>
                <c:ptCount val="1"/>
                <c:pt idx="0">
                  <c:v>portfolio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in!P73:P113</c:f>
              <c:numCache>
                <c:formatCode>General</c:formatCode>
                <c:ptCount val="41"/>
                <c:pt idx="0">
                  <c:v>0.51010695806596562</c:v>
                </c:pt>
                <c:pt idx="1">
                  <c:v>0.49475020947297688</c:v>
                </c:pt>
                <c:pt idx="2">
                  <c:v>0.47959296016576919</c:v>
                </c:pt>
                <c:pt idx="3">
                  <c:v>0.4646547338275433</c:v>
                </c:pt>
                <c:pt idx="4">
                  <c:v>0.44995734515273172</c:v>
                </c:pt>
                <c:pt idx="5">
                  <c:v>0.43552517700612103</c:v>
                </c:pt>
                <c:pt idx="6">
                  <c:v>0.42138548114084412</c:v>
                </c:pt>
                <c:pt idx="7">
                  <c:v>0.40756869873330298</c:v>
                </c:pt>
                <c:pt idx="8">
                  <c:v>0.39410879363290557</c:v>
                </c:pt>
                <c:pt idx="9">
                  <c:v>0.38104358649789632</c:v>
                </c:pt>
                <c:pt idx="10">
                  <c:v>0.36841507157599374</c:v>
                </c:pt>
                <c:pt idx="11">
                  <c:v>0.35626968953066818</c:v>
                </c:pt>
                <c:pt idx="12">
                  <c:v>0.3446585193390439</c:v>
                </c:pt>
                <c:pt idx="13">
                  <c:v>0.33363734021906888</c:v>
                </c:pt>
                <c:pt idx="14">
                  <c:v>0.32326650179796951</c:v>
                </c:pt>
                <c:pt idx="15">
                  <c:v>0.31361052938590539</c:v>
                </c:pt>
                <c:pt idx="16">
                  <c:v>0.30473738474215512</c:v>
                </c:pt>
                <c:pt idx="17">
                  <c:v>0.29671730609797259</c:v>
                </c:pt>
                <c:pt idx="18">
                  <c:v>0.28962117045781877</c:v>
                </c:pt>
                <c:pt idx="19">
                  <c:v>0.28351836197580771</c:v>
                </c:pt>
                <c:pt idx="20">
                  <c:v>0.27847419510306987</c:v>
                </c:pt>
                <c:pt idx="21">
                  <c:v>0.27454702631776828</c:v>
                </c:pt>
                <c:pt idx="22">
                  <c:v>0.27178528021643367</c:v>
                </c:pt>
                <c:pt idx="23">
                  <c:v>0.27022469166508567</c:v>
                </c:pt>
                <c:pt idx="24">
                  <c:v>0.26988609817740733</c:v>
                </c:pt>
                <c:pt idx="25">
                  <c:v>0.27077408397800729</c:v>
                </c:pt>
                <c:pt idx="26">
                  <c:v>0.27287667485441475</c:v>
                </c:pt>
                <c:pt idx="27">
                  <c:v>0.27616613001207135</c:v>
                </c:pt>
                <c:pt idx="28">
                  <c:v>0.28060071206762088</c:v>
                </c:pt>
                <c:pt idx="29">
                  <c:v>0.2861271822470503</c:v>
                </c:pt>
                <c:pt idx="30">
                  <c:v>0.2926836958034848</c:v>
                </c:pt>
                <c:pt idx="31">
                  <c:v>0.30020277100404352</c:v>
                </c:pt>
                <c:pt idx="32">
                  <c:v>0.30861406028986238</c:v>
                </c:pt>
                <c:pt idx="33">
                  <c:v>0.3178467386327139</c:v>
                </c:pt>
                <c:pt idx="34">
                  <c:v>0.32783141532055754</c:v>
                </c:pt>
                <c:pt idx="35">
                  <c:v>0.33850155249788189</c:v>
                </c:pt>
                <c:pt idx="36">
                  <c:v>0.34979442788106557</c:v>
                </c:pt>
                <c:pt idx="37">
                  <c:v>0.36165170961931992</c:v>
                </c:pt>
                <c:pt idx="38">
                  <c:v>0.37401972264211031</c:v>
                </c:pt>
                <c:pt idx="39">
                  <c:v>0.38684948409007169</c:v>
                </c:pt>
                <c:pt idx="40">
                  <c:v>0.40009657623753464</c:v>
                </c:pt>
              </c:numCache>
            </c:numRef>
          </c:xVal>
          <c:yVal>
            <c:numRef>
              <c:f>in!N73:N113</c:f>
              <c:numCache>
                <c:formatCode>General</c:formatCode>
                <c:ptCount val="41"/>
                <c:pt idx="0">
                  <c:v>0.21794955000000016</c:v>
                </c:pt>
                <c:pt idx="1">
                  <c:v>0.2134749100000001</c:v>
                </c:pt>
                <c:pt idx="2">
                  <c:v>0.20900027000000013</c:v>
                </c:pt>
                <c:pt idx="3">
                  <c:v>0.20452563000000012</c:v>
                </c:pt>
                <c:pt idx="4">
                  <c:v>0.20005099000000007</c:v>
                </c:pt>
                <c:pt idx="5">
                  <c:v>0.19557635000000007</c:v>
                </c:pt>
                <c:pt idx="6">
                  <c:v>0.19110171000000009</c:v>
                </c:pt>
                <c:pt idx="7">
                  <c:v>0.18662707000000009</c:v>
                </c:pt>
                <c:pt idx="8">
                  <c:v>0.18215243000000003</c:v>
                </c:pt>
                <c:pt idx="9">
                  <c:v>0.17767779000000006</c:v>
                </c:pt>
                <c:pt idx="10">
                  <c:v>0.17320315000000003</c:v>
                </c:pt>
                <c:pt idx="11">
                  <c:v>0.16872851000000005</c:v>
                </c:pt>
                <c:pt idx="12">
                  <c:v>0.16425387000000005</c:v>
                </c:pt>
                <c:pt idx="13">
                  <c:v>0.15977923000000002</c:v>
                </c:pt>
                <c:pt idx="14">
                  <c:v>0.15530459000000002</c:v>
                </c:pt>
                <c:pt idx="15">
                  <c:v>0.15082995000000002</c:v>
                </c:pt>
                <c:pt idx="16">
                  <c:v>0.14635531000000004</c:v>
                </c:pt>
                <c:pt idx="17">
                  <c:v>0.14188067000000001</c:v>
                </c:pt>
                <c:pt idx="18">
                  <c:v>0.13740603000000001</c:v>
                </c:pt>
                <c:pt idx="19">
                  <c:v>0.13293139000000001</c:v>
                </c:pt>
                <c:pt idx="20">
                  <c:v>0.12845675000000004</c:v>
                </c:pt>
                <c:pt idx="21">
                  <c:v>0.12398211000000003</c:v>
                </c:pt>
                <c:pt idx="22">
                  <c:v>0.11950747000000003</c:v>
                </c:pt>
                <c:pt idx="23">
                  <c:v>0.11503283000000002</c:v>
                </c:pt>
                <c:pt idx="24">
                  <c:v>0.11055819000000001</c:v>
                </c:pt>
                <c:pt idx="25">
                  <c:v>0.10608355000000001</c:v>
                </c:pt>
                <c:pt idx="26">
                  <c:v>0.10160891000000001</c:v>
                </c:pt>
                <c:pt idx="27">
                  <c:v>9.7134269999999995E-2</c:v>
                </c:pt>
                <c:pt idx="28">
                  <c:v>9.2659630000000007E-2</c:v>
                </c:pt>
                <c:pt idx="29">
                  <c:v>8.8184989999999991E-2</c:v>
                </c:pt>
                <c:pt idx="30">
                  <c:v>8.3710349999999975E-2</c:v>
                </c:pt>
                <c:pt idx="31">
                  <c:v>7.9235709999999987E-2</c:v>
                </c:pt>
                <c:pt idx="32">
                  <c:v>7.4761069999999985E-2</c:v>
                </c:pt>
                <c:pt idx="33">
                  <c:v>7.0286429999999969E-2</c:v>
                </c:pt>
                <c:pt idx="34">
                  <c:v>6.5811789999999967E-2</c:v>
                </c:pt>
                <c:pt idx="35">
                  <c:v>6.1337149999999965E-2</c:v>
                </c:pt>
                <c:pt idx="36">
                  <c:v>5.6862509999999949E-2</c:v>
                </c:pt>
                <c:pt idx="37">
                  <c:v>5.2387869999999934E-2</c:v>
                </c:pt>
                <c:pt idx="38">
                  <c:v>4.7913229999999918E-2</c:v>
                </c:pt>
                <c:pt idx="39">
                  <c:v>4.343858999999993E-2</c:v>
                </c:pt>
                <c:pt idx="40">
                  <c:v>3.8963949999999914E-2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C8-4FC7-9764-1B59EFA6C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77223"/>
        <c:axId val="1448779271"/>
      </c:scatterChart>
      <c:valAx>
        <c:axId val="1448777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79271"/>
        <c:crosses val="autoZero"/>
        <c:crossBetween val="midCat"/>
      </c:valAx>
      <c:valAx>
        <c:axId val="1448779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77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P8: portfolio opportunity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{"Real"}</c:f>
              <c:strCache>
                <c:ptCount val="1"/>
                <c:pt idx="0">
                  <c:v>Real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in!R147:R187</c:f>
              <c:numCache>
                <c:formatCode>General</c:formatCode>
                <c:ptCount val="41"/>
              </c:numCache>
            </c:numRef>
          </c:xVal>
          <c:yVal>
            <c:numRef>
              <c:f>in!Q167:Q187</c:f>
              <c:numCache>
                <c:formatCode>General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59-40BF-873D-09716ADCC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77223"/>
        <c:axId val="1448779271"/>
      </c:scatterChart>
      <c:valAx>
        <c:axId val="1448777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79271"/>
        <c:crosses val="autoZero"/>
        <c:crossBetween val="midCat"/>
      </c:valAx>
      <c:valAx>
        <c:axId val="1448779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77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P8: portfolio opportunity</a:t>
            </a:r>
          </a:p>
        </c:rich>
      </c:tx>
      <c:layout>
        <c:manualLayout>
          <c:xMode val="edge"/>
          <c:yMode val="edge"/>
          <c:x val="0.31660442532341182"/>
          <c:y val="2.87452642926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{"CAL"}</c:f>
              <c:strCache>
                <c:ptCount val="1"/>
                <c:pt idx="0">
                  <c:v>CAL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in!L119:L139</c:f>
              <c:numCache>
                <c:formatCode>General</c:formatCode>
                <c:ptCount val="2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</c:numCache>
            </c:numRef>
          </c:xVal>
          <c:yVal>
            <c:numRef>
              <c:f>in!M119:M139</c:f>
              <c:numCache>
                <c:formatCode>General</c:formatCode>
                <c:ptCount val="21"/>
                <c:pt idx="0">
                  <c:v>1.6375000000000001E-2</c:v>
                </c:pt>
                <c:pt idx="1">
                  <c:v>2.4971413693133972E-2</c:v>
                </c:pt>
                <c:pt idx="2">
                  <c:v>3.3567827386267943E-2</c:v>
                </c:pt>
                <c:pt idx="3">
                  <c:v>4.2164241079401907E-2</c:v>
                </c:pt>
                <c:pt idx="4">
                  <c:v>5.0760654772535878E-2</c:v>
                </c:pt>
                <c:pt idx="5">
                  <c:v>5.9357068465669849E-2</c:v>
                </c:pt>
                <c:pt idx="6">
                  <c:v>6.7953482158803813E-2</c:v>
                </c:pt>
                <c:pt idx="7">
                  <c:v>7.6549895851937791E-2</c:v>
                </c:pt>
                <c:pt idx="8">
                  <c:v>8.5146309545071755E-2</c:v>
                </c:pt>
                <c:pt idx="9">
                  <c:v>9.3742723238205719E-2</c:v>
                </c:pt>
                <c:pt idx="10">
                  <c:v>0.1023391369313397</c:v>
                </c:pt>
                <c:pt idx="11">
                  <c:v>0.11093555062447366</c:v>
                </c:pt>
                <c:pt idx="12">
                  <c:v>0.11953196431760764</c:v>
                </c:pt>
                <c:pt idx="13">
                  <c:v>0.12812837801074162</c:v>
                </c:pt>
                <c:pt idx="14">
                  <c:v>0.13672479170387558</c:v>
                </c:pt>
                <c:pt idx="15">
                  <c:v>0.14532120539700955</c:v>
                </c:pt>
                <c:pt idx="16">
                  <c:v>0.15391761909014351</c:v>
                </c:pt>
                <c:pt idx="17">
                  <c:v>0.1625140327832775</c:v>
                </c:pt>
                <c:pt idx="18">
                  <c:v>0.17111044647641144</c:v>
                </c:pt>
                <c:pt idx="19">
                  <c:v>0.17970686016954543</c:v>
                </c:pt>
                <c:pt idx="20">
                  <c:v>0.18830327386267939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82-4224-9CE5-1EF8F33CA8E8}"/>
            </c:ext>
          </c:extLst>
        </c:ser>
        <c:ser>
          <c:idx val="1"/>
          <c:order val="1"/>
          <c:tx>
            <c:strRef>
              <c:f>{"portfolio"}</c:f>
              <c:strCache>
                <c:ptCount val="1"/>
                <c:pt idx="0">
                  <c:v>portfolio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in!P73:P113</c:f>
              <c:numCache>
                <c:formatCode>General</c:formatCode>
                <c:ptCount val="41"/>
                <c:pt idx="0">
                  <c:v>0.51010695806596562</c:v>
                </c:pt>
                <c:pt idx="1">
                  <c:v>0.49475020947297688</c:v>
                </c:pt>
                <c:pt idx="2">
                  <c:v>0.47959296016576919</c:v>
                </c:pt>
                <c:pt idx="3">
                  <c:v>0.4646547338275433</c:v>
                </c:pt>
                <c:pt idx="4">
                  <c:v>0.44995734515273172</c:v>
                </c:pt>
                <c:pt idx="5">
                  <c:v>0.43552517700612103</c:v>
                </c:pt>
                <c:pt idx="6">
                  <c:v>0.42138548114084412</c:v>
                </c:pt>
                <c:pt idx="7">
                  <c:v>0.40756869873330298</c:v>
                </c:pt>
                <c:pt idx="8">
                  <c:v>0.39410879363290557</c:v>
                </c:pt>
                <c:pt idx="9">
                  <c:v>0.38104358649789632</c:v>
                </c:pt>
                <c:pt idx="10">
                  <c:v>0.36841507157599374</c:v>
                </c:pt>
                <c:pt idx="11">
                  <c:v>0.35626968953066818</c:v>
                </c:pt>
                <c:pt idx="12">
                  <c:v>0.3446585193390439</c:v>
                </c:pt>
                <c:pt idx="13">
                  <c:v>0.33363734021906888</c:v>
                </c:pt>
                <c:pt idx="14">
                  <c:v>0.32326650179796951</c:v>
                </c:pt>
                <c:pt idx="15">
                  <c:v>0.31361052938590539</c:v>
                </c:pt>
                <c:pt idx="16">
                  <c:v>0.30473738474215512</c:v>
                </c:pt>
                <c:pt idx="17">
                  <c:v>0.29671730609797259</c:v>
                </c:pt>
                <c:pt idx="18">
                  <c:v>0.28962117045781877</c:v>
                </c:pt>
                <c:pt idx="19">
                  <c:v>0.28351836197580771</c:v>
                </c:pt>
                <c:pt idx="20">
                  <c:v>0.27847419510306987</c:v>
                </c:pt>
                <c:pt idx="21">
                  <c:v>0.27454702631776828</c:v>
                </c:pt>
                <c:pt idx="22">
                  <c:v>0.27178528021643367</c:v>
                </c:pt>
                <c:pt idx="23">
                  <c:v>0.27022469166508567</c:v>
                </c:pt>
                <c:pt idx="24">
                  <c:v>0.26988609817740733</c:v>
                </c:pt>
                <c:pt idx="25">
                  <c:v>0.27077408397800729</c:v>
                </c:pt>
                <c:pt idx="26">
                  <c:v>0.27287667485441475</c:v>
                </c:pt>
                <c:pt idx="27">
                  <c:v>0.27616613001207135</c:v>
                </c:pt>
                <c:pt idx="28">
                  <c:v>0.28060071206762088</c:v>
                </c:pt>
                <c:pt idx="29">
                  <c:v>0.2861271822470503</c:v>
                </c:pt>
                <c:pt idx="30">
                  <c:v>0.2926836958034848</c:v>
                </c:pt>
                <c:pt idx="31">
                  <c:v>0.30020277100404352</c:v>
                </c:pt>
                <c:pt idx="32">
                  <c:v>0.30861406028986238</c:v>
                </c:pt>
                <c:pt idx="33">
                  <c:v>0.3178467386327139</c:v>
                </c:pt>
                <c:pt idx="34">
                  <c:v>0.32783141532055754</c:v>
                </c:pt>
                <c:pt idx="35">
                  <c:v>0.33850155249788189</c:v>
                </c:pt>
                <c:pt idx="36">
                  <c:v>0.34979442788106557</c:v>
                </c:pt>
                <c:pt idx="37">
                  <c:v>0.36165170961931992</c:v>
                </c:pt>
                <c:pt idx="38">
                  <c:v>0.37401972264211031</c:v>
                </c:pt>
                <c:pt idx="39">
                  <c:v>0.38684948409007169</c:v>
                </c:pt>
                <c:pt idx="40">
                  <c:v>0.40009657623753464</c:v>
                </c:pt>
              </c:numCache>
            </c:numRef>
          </c:xVal>
          <c:yVal>
            <c:numRef>
              <c:f>in!N73:N113</c:f>
              <c:numCache>
                <c:formatCode>General</c:formatCode>
                <c:ptCount val="41"/>
                <c:pt idx="0">
                  <c:v>0.21794955000000016</c:v>
                </c:pt>
                <c:pt idx="1">
                  <c:v>0.2134749100000001</c:v>
                </c:pt>
                <c:pt idx="2">
                  <c:v>0.20900027000000013</c:v>
                </c:pt>
                <c:pt idx="3">
                  <c:v>0.20452563000000012</c:v>
                </c:pt>
                <c:pt idx="4">
                  <c:v>0.20005099000000007</c:v>
                </c:pt>
                <c:pt idx="5">
                  <c:v>0.19557635000000007</c:v>
                </c:pt>
                <c:pt idx="6">
                  <c:v>0.19110171000000009</c:v>
                </c:pt>
                <c:pt idx="7">
                  <c:v>0.18662707000000009</c:v>
                </c:pt>
                <c:pt idx="8">
                  <c:v>0.18215243000000003</c:v>
                </c:pt>
                <c:pt idx="9">
                  <c:v>0.17767779000000006</c:v>
                </c:pt>
                <c:pt idx="10">
                  <c:v>0.17320315000000003</c:v>
                </c:pt>
                <c:pt idx="11">
                  <c:v>0.16872851000000005</c:v>
                </c:pt>
                <c:pt idx="12">
                  <c:v>0.16425387000000005</c:v>
                </c:pt>
                <c:pt idx="13">
                  <c:v>0.15977923000000002</c:v>
                </c:pt>
                <c:pt idx="14">
                  <c:v>0.15530459000000002</c:v>
                </c:pt>
                <c:pt idx="15">
                  <c:v>0.15082995000000002</c:v>
                </c:pt>
                <c:pt idx="16">
                  <c:v>0.14635531000000004</c:v>
                </c:pt>
                <c:pt idx="17">
                  <c:v>0.14188067000000001</c:v>
                </c:pt>
                <c:pt idx="18">
                  <c:v>0.13740603000000001</c:v>
                </c:pt>
                <c:pt idx="19">
                  <c:v>0.13293139000000001</c:v>
                </c:pt>
                <c:pt idx="20">
                  <c:v>0.12845675000000004</c:v>
                </c:pt>
                <c:pt idx="21">
                  <c:v>0.12398211000000003</c:v>
                </c:pt>
                <c:pt idx="22">
                  <c:v>0.11950747000000003</c:v>
                </c:pt>
                <c:pt idx="23">
                  <c:v>0.11503283000000002</c:v>
                </c:pt>
                <c:pt idx="24">
                  <c:v>0.11055819000000001</c:v>
                </c:pt>
                <c:pt idx="25">
                  <c:v>0.10608355000000001</c:v>
                </c:pt>
                <c:pt idx="26">
                  <c:v>0.10160891000000001</c:v>
                </c:pt>
                <c:pt idx="27">
                  <c:v>9.7134269999999995E-2</c:v>
                </c:pt>
                <c:pt idx="28">
                  <c:v>9.2659630000000007E-2</c:v>
                </c:pt>
                <c:pt idx="29">
                  <c:v>8.8184989999999991E-2</c:v>
                </c:pt>
                <c:pt idx="30">
                  <c:v>8.3710349999999975E-2</c:v>
                </c:pt>
                <c:pt idx="31">
                  <c:v>7.9235709999999987E-2</c:v>
                </c:pt>
                <c:pt idx="32">
                  <c:v>7.4761069999999985E-2</c:v>
                </c:pt>
                <c:pt idx="33">
                  <c:v>7.0286429999999969E-2</c:v>
                </c:pt>
                <c:pt idx="34">
                  <c:v>6.5811789999999967E-2</c:v>
                </c:pt>
                <c:pt idx="35">
                  <c:v>6.1337149999999965E-2</c:v>
                </c:pt>
                <c:pt idx="36">
                  <c:v>5.6862509999999949E-2</c:v>
                </c:pt>
                <c:pt idx="37">
                  <c:v>5.2387869999999934E-2</c:v>
                </c:pt>
                <c:pt idx="38">
                  <c:v>4.7913229999999918E-2</c:v>
                </c:pt>
                <c:pt idx="39">
                  <c:v>4.343858999999993E-2</c:v>
                </c:pt>
                <c:pt idx="40">
                  <c:v>3.8963949999999914E-2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82-4224-9CE5-1EF8F33CA8E8}"/>
            </c:ext>
          </c:extLst>
        </c:ser>
        <c:ser>
          <c:idx val="2"/>
          <c:order val="2"/>
          <c:tx>
            <c:strRef>
              <c:f>{"indifference curve (A=4)"}</c:f>
              <c:strCache>
                <c:ptCount val="1"/>
                <c:pt idx="0">
                  <c:v>indifference curve (A=4)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in!L145:L165</c:f>
              <c:numCache>
                <c:formatCode>General</c:formatCode>
                <c:ptCount val="2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</c:numCache>
            </c:numRef>
          </c:xVal>
          <c:yVal>
            <c:numRef>
              <c:f>in!M145:M165</c:f>
              <c:numCache>
                <c:formatCode>General</c:formatCode>
                <c:ptCount val="21"/>
                <c:pt idx="0">
                  <c:v>3.9468227619844129E-2</c:v>
                </c:pt>
                <c:pt idx="1">
                  <c:v>4.0268227619844131E-2</c:v>
                </c:pt>
                <c:pt idx="2">
                  <c:v>4.266822761984413E-2</c:v>
                </c:pt>
                <c:pt idx="3">
                  <c:v>4.6668227619844127E-2</c:v>
                </c:pt>
                <c:pt idx="4">
                  <c:v>5.2268227619844128E-2</c:v>
                </c:pt>
                <c:pt idx="5">
                  <c:v>5.9468227619844133E-2</c:v>
                </c:pt>
                <c:pt idx="6">
                  <c:v>6.8268227619844135E-2</c:v>
                </c:pt>
                <c:pt idx="7">
                  <c:v>7.8668227619844128E-2</c:v>
                </c:pt>
                <c:pt idx="8">
                  <c:v>9.0668227619844138E-2</c:v>
                </c:pt>
                <c:pt idx="9">
                  <c:v>0.10426822761984413</c:v>
                </c:pt>
                <c:pt idx="10">
                  <c:v>0.11946822761984414</c:v>
                </c:pt>
                <c:pt idx="11">
                  <c:v>0.13626822761984414</c:v>
                </c:pt>
                <c:pt idx="12">
                  <c:v>0.15466822761984411</c:v>
                </c:pt>
                <c:pt idx="13">
                  <c:v>0.17466822761984413</c:v>
                </c:pt>
                <c:pt idx="14">
                  <c:v>0.19626822761984414</c:v>
                </c:pt>
                <c:pt idx="15">
                  <c:v>0.21946822761984414</c:v>
                </c:pt>
                <c:pt idx="16">
                  <c:v>0.24426822761984412</c:v>
                </c:pt>
                <c:pt idx="17">
                  <c:v>0.27066822761984416</c:v>
                </c:pt>
                <c:pt idx="18">
                  <c:v>0.29866822761984413</c:v>
                </c:pt>
                <c:pt idx="19">
                  <c:v>0.32826822761984414</c:v>
                </c:pt>
                <c:pt idx="20">
                  <c:v>0.35946822761984421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3B-466C-8D49-C1E450420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77223"/>
        <c:axId val="1448779271"/>
      </c:scatterChart>
      <c:valAx>
        <c:axId val="1448777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79271"/>
        <c:crosses val="autoZero"/>
        <c:crossBetween val="midCat"/>
      </c:valAx>
      <c:valAx>
        <c:axId val="1448779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77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P9: portfolio opportunity</a:t>
            </a:r>
          </a:p>
        </c:rich>
      </c:tx>
      <c:layout>
        <c:manualLayout>
          <c:xMode val="edge"/>
          <c:yMode val="edge"/>
          <c:x val="0.31660442532341182"/>
          <c:y val="2.87452642926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{"CAL"}</c:f>
              <c:strCache>
                <c:ptCount val="1"/>
                <c:pt idx="0">
                  <c:v>CAL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in!L119:L139</c:f>
              <c:numCache>
                <c:formatCode>General</c:formatCode>
                <c:ptCount val="2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</c:numCache>
            </c:numRef>
          </c:xVal>
          <c:yVal>
            <c:numRef>
              <c:f>in!M119:M139</c:f>
              <c:numCache>
                <c:formatCode>General</c:formatCode>
                <c:ptCount val="21"/>
                <c:pt idx="0">
                  <c:v>1.6375000000000001E-2</c:v>
                </c:pt>
                <c:pt idx="1">
                  <c:v>2.4971413693133972E-2</c:v>
                </c:pt>
                <c:pt idx="2">
                  <c:v>3.3567827386267943E-2</c:v>
                </c:pt>
                <c:pt idx="3">
                  <c:v>4.2164241079401907E-2</c:v>
                </c:pt>
                <c:pt idx="4">
                  <c:v>5.0760654772535878E-2</c:v>
                </c:pt>
                <c:pt idx="5">
                  <c:v>5.9357068465669849E-2</c:v>
                </c:pt>
                <c:pt idx="6">
                  <c:v>6.7953482158803813E-2</c:v>
                </c:pt>
                <c:pt idx="7">
                  <c:v>7.6549895851937791E-2</c:v>
                </c:pt>
                <c:pt idx="8">
                  <c:v>8.5146309545071755E-2</c:v>
                </c:pt>
                <c:pt idx="9">
                  <c:v>9.3742723238205719E-2</c:v>
                </c:pt>
                <c:pt idx="10">
                  <c:v>0.1023391369313397</c:v>
                </c:pt>
                <c:pt idx="11">
                  <c:v>0.11093555062447366</c:v>
                </c:pt>
                <c:pt idx="12">
                  <c:v>0.11953196431760764</c:v>
                </c:pt>
                <c:pt idx="13">
                  <c:v>0.12812837801074162</c:v>
                </c:pt>
                <c:pt idx="14">
                  <c:v>0.13672479170387558</c:v>
                </c:pt>
                <c:pt idx="15">
                  <c:v>0.14532120539700955</c:v>
                </c:pt>
                <c:pt idx="16">
                  <c:v>0.15391761909014351</c:v>
                </c:pt>
                <c:pt idx="17">
                  <c:v>0.1625140327832775</c:v>
                </c:pt>
                <c:pt idx="18">
                  <c:v>0.17111044647641144</c:v>
                </c:pt>
                <c:pt idx="19">
                  <c:v>0.17970686016954543</c:v>
                </c:pt>
                <c:pt idx="20">
                  <c:v>0.18830327386267939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A2-4E29-BCB2-B8E09233DA35}"/>
            </c:ext>
          </c:extLst>
        </c:ser>
        <c:ser>
          <c:idx val="1"/>
          <c:order val="1"/>
          <c:tx>
            <c:strRef>
              <c:f>{"portfolio"}</c:f>
              <c:strCache>
                <c:ptCount val="1"/>
                <c:pt idx="0">
                  <c:v>portfolio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in!P73:P113</c:f>
              <c:numCache>
                <c:formatCode>General</c:formatCode>
                <c:ptCount val="41"/>
                <c:pt idx="0">
                  <c:v>0.51010695806596562</c:v>
                </c:pt>
                <c:pt idx="1">
                  <c:v>0.49475020947297688</c:v>
                </c:pt>
                <c:pt idx="2">
                  <c:v>0.47959296016576919</c:v>
                </c:pt>
                <c:pt idx="3">
                  <c:v>0.4646547338275433</c:v>
                </c:pt>
                <c:pt idx="4">
                  <c:v>0.44995734515273172</c:v>
                </c:pt>
                <c:pt idx="5">
                  <c:v>0.43552517700612103</c:v>
                </c:pt>
                <c:pt idx="6">
                  <c:v>0.42138548114084412</c:v>
                </c:pt>
                <c:pt idx="7">
                  <c:v>0.40756869873330298</c:v>
                </c:pt>
                <c:pt idx="8">
                  <c:v>0.39410879363290557</c:v>
                </c:pt>
                <c:pt idx="9">
                  <c:v>0.38104358649789632</c:v>
                </c:pt>
                <c:pt idx="10">
                  <c:v>0.36841507157599374</c:v>
                </c:pt>
                <c:pt idx="11">
                  <c:v>0.35626968953066818</c:v>
                </c:pt>
                <c:pt idx="12">
                  <c:v>0.3446585193390439</c:v>
                </c:pt>
                <c:pt idx="13">
                  <c:v>0.33363734021906888</c:v>
                </c:pt>
                <c:pt idx="14">
                  <c:v>0.32326650179796951</c:v>
                </c:pt>
                <c:pt idx="15">
                  <c:v>0.31361052938590539</c:v>
                </c:pt>
                <c:pt idx="16">
                  <c:v>0.30473738474215512</c:v>
                </c:pt>
                <c:pt idx="17">
                  <c:v>0.29671730609797259</c:v>
                </c:pt>
                <c:pt idx="18">
                  <c:v>0.28962117045781877</c:v>
                </c:pt>
                <c:pt idx="19">
                  <c:v>0.28351836197580771</c:v>
                </c:pt>
                <c:pt idx="20">
                  <c:v>0.27847419510306987</c:v>
                </c:pt>
                <c:pt idx="21">
                  <c:v>0.27454702631776828</c:v>
                </c:pt>
                <c:pt idx="22">
                  <c:v>0.27178528021643367</c:v>
                </c:pt>
                <c:pt idx="23">
                  <c:v>0.27022469166508567</c:v>
                </c:pt>
                <c:pt idx="24">
                  <c:v>0.26988609817740733</c:v>
                </c:pt>
                <c:pt idx="25">
                  <c:v>0.27077408397800729</c:v>
                </c:pt>
                <c:pt idx="26">
                  <c:v>0.27287667485441475</c:v>
                </c:pt>
                <c:pt idx="27">
                  <c:v>0.27616613001207135</c:v>
                </c:pt>
                <c:pt idx="28">
                  <c:v>0.28060071206762088</c:v>
                </c:pt>
                <c:pt idx="29">
                  <c:v>0.2861271822470503</c:v>
                </c:pt>
                <c:pt idx="30">
                  <c:v>0.2926836958034848</c:v>
                </c:pt>
                <c:pt idx="31">
                  <c:v>0.30020277100404352</c:v>
                </c:pt>
                <c:pt idx="32">
                  <c:v>0.30861406028986238</c:v>
                </c:pt>
                <c:pt idx="33">
                  <c:v>0.3178467386327139</c:v>
                </c:pt>
                <c:pt idx="34">
                  <c:v>0.32783141532055754</c:v>
                </c:pt>
                <c:pt idx="35">
                  <c:v>0.33850155249788189</c:v>
                </c:pt>
                <c:pt idx="36">
                  <c:v>0.34979442788106557</c:v>
                </c:pt>
                <c:pt idx="37">
                  <c:v>0.36165170961931992</c:v>
                </c:pt>
                <c:pt idx="38">
                  <c:v>0.37401972264211031</c:v>
                </c:pt>
                <c:pt idx="39">
                  <c:v>0.38684948409007169</c:v>
                </c:pt>
                <c:pt idx="40">
                  <c:v>0.40009657623753464</c:v>
                </c:pt>
              </c:numCache>
            </c:numRef>
          </c:xVal>
          <c:yVal>
            <c:numRef>
              <c:f>in!N73:N113</c:f>
              <c:numCache>
                <c:formatCode>General</c:formatCode>
                <c:ptCount val="41"/>
                <c:pt idx="0">
                  <c:v>0.21794955000000016</c:v>
                </c:pt>
                <c:pt idx="1">
                  <c:v>0.2134749100000001</c:v>
                </c:pt>
                <c:pt idx="2">
                  <c:v>0.20900027000000013</c:v>
                </c:pt>
                <c:pt idx="3">
                  <c:v>0.20452563000000012</c:v>
                </c:pt>
                <c:pt idx="4">
                  <c:v>0.20005099000000007</c:v>
                </c:pt>
                <c:pt idx="5">
                  <c:v>0.19557635000000007</c:v>
                </c:pt>
                <c:pt idx="6">
                  <c:v>0.19110171000000009</c:v>
                </c:pt>
                <c:pt idx="7">
                  <c:v>0.18662707000000009</c:v>
                </c:pt>
                <c:pt idx="8">
                  <c:v>0.18215243000000003</c:v>
                </c:pt>
                <c:pt idx="9">
                  <c:v>0.17767779000000006</c:v>
                </c:pt>
                <c:pt idx="10">
                  <c:v>0.17320315000000003</c:v>
                </c:pt>
                <c:pt idx="11">
                  <c:v>0.16872851000000005</c:v>
                </c:pt>
                <c:pt idx="12">
                  <c:v>0.16425387000000005</c:v>
                </c:pt>
                <c:pt idx="13">
                  <c:v>0.15977923000000002</c:v>
                </c:pt>
                <c:pt idx="14">
                  <c:v>0.15530459000000002</c:v>
                </c:pt>
                <c:pt idx="15">
                  <c:v>0.15082995000000002</c:v>
                </c:pt>
                <c:pt idx="16">
                  <c:v>0.14635531000000004</c:v>
                </c:pt>
                <c:pt idx="17">
                  <c:v>0.14188067000000001</c:v>
                </c:pt>
                <c:pt idx="18">
                  <c:v>0.13740603000000001</c:v>
                </c:pt>
                <c:pt idx="19">
                  <c:v>0.13293139000000001</c:v>
                </c:pt>
                <c:pt idx="20">
                  <c:v>0.12845675000000004</c:v>
                </c:pt>
                <c:pt idx="21">
                  <c:v>0.12398211000000003</c:v>
                </c:pt>
                <c:pt idx="22">
                  <c:v>0.11950747000000003</c:v>
                </c:pt>
                <c:pt idx="23">
                  <c:v>0.11503283000000002</c:v>
                </c:pt>
                <c:pt idx="24">
                  <c:v>0.11055819000000001</c:v>
                </c:pt>
                <c:pt idx="25">
                  <c:v>0.10608355000000001</c:v>
                </c:pt>
                <c:pt idx="26">
                  <c:v>0.10160891000000001</c:v>
                </c:pt>
                <c:pt idx="27">
                  <c:v>9.7134269999999995E-2</c:v>
                </c:pt>
                <c:pt idx="28">
                  <c:v>9.2659630000000007E-2</c:v>
                </c:pt>
                <c:pt idx="29">
                  <c:v>8.8184989999999991E-2</c:v>
                </c:pt>
                <c:pt idx="30">
                  <c:v>8.3710349999999975E-2</c:v>
                </c:pt>
                <c:pt idx="31">
                  <c:v>7.9235709999999987E-2</c:v>
                </c:pt>
                <c:pt idx="32">
                  <c:v>7.4761069999999985E-2</c:v>
                </c:pt>
                <c:pt idx="33">
                  <c:v>7.0286429999999969E-2</c:v>
                </c:pt>
                <c:pt idx="34">
                  <c:v>6.5811789999999967E-2</c:v>
                </c:pt>
                <c:pt idx="35">
                  <c:v>6.1337149999999965E-2</c:v>
                </c:pt>
                <c:pt idx="36">
                  <c:v>5.6862509999999949E-2</c:v>
                </c:pt>
                <c:pt idx="37">
                  <c:v>5.2387869999999934E-2</c:v>
                </c:pt>
                <c:pt idx="38">
                  <c:v>4.7913229999999918E-2</c:v>
                </c:pt>
                <c:pt idx="39">
                  <c:v>4.343858999999993E-2</c:v>
                </c:pt>
                <c:pt idx="40">
                  <c:v>3.8963949999999914E-2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A2-4E29-BCB2-B8E09233DA35}"/>
            </c:ext>
          </c:extLst>
        </c:ser>
        <c:ser>
          <c:idx val="2"/>
          <c:order val="2"/>
          <c:tx>
            <c:strRef>
              <c:f>{"indifference curve (A=1)"}</c:f>
              <c:strCache>
                <c:ptCount val="1"/>
                <c:pt idx="0">
                  <c:v>indifference curve (A=1)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in!L145:L165</c:f>
              <c:numCache>
                <c:formatCode>General</c:formatCode>
                <c:ptCount val="2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</c:numCache>
            </c:numRef>
          </c:xVal>
          <c:yVal>
            <c:numRef>
              <c:f>in!M168:M188</c:f>
              <c:numCache>
                <c:formatCode>General</c:formatCode>
                <c:ptCount val="21"/>
                <c:pt idx="0">
                  <c:v>0.1066763006684487</c:v>
                </c:pt>
                <c:pt idx="1">
                  <c:v>0.10687630066844871</c:v>
                </c:pt>
                <c:pt idx="2">
                  <c:v>0.1074763006684487</c:v>
                </c:pt>
                <c:pt idx="3">
                  <c:v>0.1084763006684487</c:v>
                </c:pt>
                <c:pt idx="4">
                  <c:v>0.1098763006684487</c:v>
                </c:pt>
                <c:pt idx="5">
                  <c:v>0.11167630066844871</c:v>
                </c:pt>
                <c:pt idx="6">
                  <c:v>0.1138763006684487</c:v>
                </c:pt>
                <c:pt idx="7">
                  <c:v>0.1164763006684487</c:v>
                </c:pt>
                <c:pt idx="8">
                  <c:v>0.11947630066844871</c:v>
                </c:pt>
                <c:pt idx="9">
                  <c:v>0.12287630066844871</c:v>
                </c:pt>
                <c:pt idx="10">
                  <c:v>0.1266763006684487</c:v>
                </c:pt>
                <c:pt idx="11">
                  <c:v>0.13087630066844869</c:v>
                </c:pt>
                <c:pt idx="12">
                  <c:v>0.13547630066844871</c:v>
                </c:pt>
                <c:pt idx="13">
                  <c:v>0.14047630066844871</c:v>
                </c:pt>
                <c:pt idx="14">
                  <c:v>0.1458763006684487</c:v>
                </c:pt>
                <c:pt idx="15">
                  <c:v>0.1516763006684487</c:v>
                </c:pt>
                <c:pt idx="16">
                  <c:v>0.15787630066844871</c:v>
                </c:pt>
                <c:pt idx="17">
                  <c:v>0.16447630066844871</c:v>
                </c:pt>
                <c:pt idx="18">
                  <c:v>0.17147630066844871</c:v>
                </c:pt>
                <c:pt idx="19">
                  <c:v>0.1788763006684487</c:v>
                </c:pt>
                <c:pt idx="20">
                  <c:v>0.1866763006684487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A2-4E29-BCB2-B8E09233D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77223"/>
        <c:axId val="1448779271"/>
      </c:scatterChart>
      <c:valAx>
        <c:axId val="1448777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79271"/>
        <c:crosses val="autoZero"/>
        <c:crossBetween val="midCat"/>
      </c:valAx>
      <c:valAx>
        <c:axId val="1448779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77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52</xdr:row>
      <xdr:rowOff>9525</xdr:rowOff>
    </xdr:from>
    <xdr:to>
      <xdr:col>15</xdr:col>
      <xdr:colOff>1028700</xdr:colOff>
      <xdr:row>66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97B10A-D8BC-59C9-07C4-A4DE6E7C9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95</xdr:row>
      <xdr:rowOff>180975</xdr:rowOff>
    </xdr:from>
    <xdr:to>
      <xdr:col>22</xdr:col>
      <xdr:colOff>876300</xdr:colOff>
      <xdr:row>110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22F9A6-571A-4C59-A7C3-F247CBDBC939}"/>
            </a:ext>
            <a:ext uri="{147F2762-F138-4A5C-976F-8EAC2B608ADB}">
              <a16:predDERef xmlns:a16="http://schemas.microsoft.com/office/drawing/2014/main" pred="{7397B10A-D8BC-59C9-07C4-A4DE6E7C9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457200</xdr:colOff>
      <xdr:row>118</xdr:row>
      <xdr:rowOff>161925</xdr:rowOff>
    </xdr:from>
    <xdr:to>
      <xdr:col>16</xdr:col>
      <xdr:colOff>1562100</xdr:colOff>
      <xdr:row>133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93AF56-6A0F-4A7A-AB36-96DC2745E07D}"/>
            </a:ext>
            <a:ext uri="{147F2762-F138-4A5C-976F-8EAC2B608ADB}">
              <a16:predDERef xmlns:a16="http://schemas.microsoft.com/office/drawing/2014/main" pred="{B322F9A6-571A-4C59-A7C3-F247CBDBC9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-1076325</xdr:rowOff>
    </xdr:from>
    <xdr:to>
      <xdr:col>0</xdr:col>
      <xdr:colOff>0</xdr:colOff>
      <xdr:row>0</xdr:row>
      <xdr:rowOff>-1076325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6652D2E-3F91-4174-B784-EC82FCBD6149}"/>
            </a:ext>
            <a:ext uri="{147F2762-F138-4A5C-976F-8EAC2B608ADB}">
              <a16:predDERef xmlns:a16="http://schemas.microsoft.com/office/drawing/2014/main" pred="{5093AF56-6A0F-4A7A-AB36-96DC2745E0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447675</xdr:colOff>
      <xdr:row>142</xdr:row>
      <xdr:rowOff>171450</xdr:rowOff>
    </xdr:from>
    <xdr:to>
      <xdr:col>16</xdr:col>
      <xdr:colOff>1552575</xdr:colOff>
      <xdr:row>157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0911A9-3F86-48F5-9524-10DC4DEECF34}"/>
            </a:ext>
            <a:ext uri="{147F2762-F138-4A5C-976F-8EAC2B608ADB}">
              <a16:predDERef xmlns:a16="http://schemas.microsoft.com/office/drawing/2014/main" pred="{46652D2E-3F91-4174-B784-EC82FCBD6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447675</xdr:colOff>
      <xdr:row>165</xdr:row>
      <xdr:rowOff>171450</xdr:rowOff>
    </xdr:from>
    <xdr:to>
      <xdr:col>16</xdr:col>
      <xdr:colOff>1552575</xdr:colOff>
      <xdr:row>180</xdr:row>
      <xdr:rowOff>57150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CCF5AC18-0A68-44E8-A700-89C7CEAC77E8}"/>
            </a:ext>
            <a:ext uri="{147F2762-F138-4A5C-976F-8EAC2B608ADB}">
              <a16:predDERef xmlns:a16="http://schemas.microsoft.com/office/drawing/2014/main" pred="{FA0911A9-3F86-48F5-9524-10DC4DEEC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2444-8330-4139-A08F-0752356063EF}">
  <dimension ref="A1:W188"/>
  <sheetViews>
    <sheetView tabSelected="1" workbookViewId="0">
      <selection activeCell="J57" sqref="J57"/>
    </sheetView>
  </sheetViews>
  <sheetFormatPr defaultColWidth="0" defaultRowHeight="15"/>
  <cols>
    <col min="1" max="1" width="9.140625" customWidth="1"/>
    <col min="2" max="2" width="21" customWidth="1"/>
    <col min="3" max="3" width="13" customWidth="1"/>
    <col min="4" max="4" width="14.42578125" customWidth="1"/>
    <col min="5" max="7" width="9.140625" customWidth="1"/>
    <col min="8" max="8" width="18.140625" customWidth="1"/>
    <col min="9" max="9" width="17.7109375" customWidth="1"/>
    <col min="10" max="10" width="15" customWidth="1"/>
    <col min="11" max="11" width="15.7109375" customWidth="1"/>
    <col min="12" max="12" width="20.42578125" customWidth="1"/>
    <col min="13" max="13" width="20.140625" customWidth="1"/>
    <col min="14" max="14" width="23.28515625" customWidth="1"/>
    <col min="15" max="15" width="23.42578125" customWidth="1"/>
    <col min="16" max="16" width="22.85546875" customWidth="1"/>
    <col min="17" max="17" width="23.5703125" customWidth="1"/>
    <col min="18" max="18" width="20.42578125" customWidth="1"/>
    <col min="19" max="19" width="23.28515625" customWidth="1"/>
    <col min="20" max="20" width="15.5703125" customWidth="1"/>
    <col min="21" max="21" width="22.5703125" customWidth="1"/>
    <col min="22" max="22" width="16.5703125" customWidth="1"/>
    <col min="23" max="23" width="18.5703125" customWidth="1"/>
    <col min="24" max="27" width="9.140625" customWidth="1"/>
  </cols>
  <sheetData>
    <row r="1" spans="1:23">
      <c r="A1" t="s">
        <v>0</v>
      </c>
    </row>
    <row r="4" spans="1:23" ht="30.75">
      <c r="A4" s="1"/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8" t="s">
        <v>7</v>
      </c>
      <c r="I4" s="8" t="s">
        <v>8</v>
      </c>
      <c r="J4" s="9" t="s">
        <v>9</v>
      </c>
    </row>
    <row r="5" spans="1:23">
      <c r="A5" s="1">
        <v>2006</v>
      </c>
      <c r="B5" s="1">
        <v>10.2508</v>
      </c>
      <c r="C5" s="1">
        <v>20.702100000000002</v>
      </c>
      <c r="D5" s="1">
        <v>21.6511</v>
      </c>
      <c r="E5" s="1">
        <v>10.8185</v>
      </c>
      <c r="F5" s="1">
        <v>14.196300000000001</v>
      </c>
      <c r="G5" s="1">
        <v>18.979700000000001</v>
      </c>
      <c r="H5" s="1">
        <f>B5/100</f>
        <v>0.102508</v>
      </c>
      <c r="I5" s="1">
        <f>D5/100</f>
        <v>0.21651100000000001</v>
      </c>
      <c r="J5" s="1">
        <v>1.6375000000000001E-2</v>
      </c>
    </row>
    <row r="6" spans="1:23">
      <c r="A6" s="1">
        <v>2007</v>
      </c>
      <c r="B6" s="1">
        <v>-2.4569999999999999</v>
      </c>
      <c r="C6" s="1">
        <v>-8.9869000000000003</v>
      </c>
      <c r="D6" s="1">
        <v>-15.2357</v>
      </c>
      <c r="E6" s="1">
        <v>10.6381</v>
      </c>
      <c r="F6" s="1">
        <v>5.3788999999999998</v>
      </c>
      <c r="G6" s="1">
        <v>-6.0076999999999998</v>
      </c>
      <c r="H6" s="1">
        <f>B6/100</f>
        <v>-2.4569999999999998E-2</v>
      </c>
      <c r="I6" s="1">
        <f>D6/100</f>
        <v>-0.15235699999999999</v>
      </c>
      <c r="J6" s="1"/>
    </row>
    <row r="7" spans="1:23">
      <c r="A7" s="1">
        <v>2008</v>
      </c>
      <c r="B7" s="1">
        <v>-47.400799999999997</v>
      </c>
      <c r="C7" s="1">
        <v>-41.130800000000001</v>
      </c>
      <c r="D7" s="1">
        <v>-46.908799999999999</v>
      </c>
      <c r="E7" s="1">
        <v>-40.852200000000003</v>
      </c>
      <c r="F7" s="1">
        <v>-42.306699999999999</v>
      </c>
      <c r="G7" s="1">
        <v>-38.298299999999998</v>
      </c>
      <c r="H7" s="1">
        <f>B7/100</f>
        <v>-0.47400799999999998</v>
      </c>
      <c r="I7" s="1">
        <f>D7/100</f>
        <v>-0.469088</v>
      </c>
      <c r="J7" s="1"/>
    </row>
    <row r="8" spans="1:23">
      <c r="A8" s="1">
        <v>2009</v>
      </c>
      <c r="B8" s="1">
        <v>73.486800000000002</v>
      </c>
      <c r="C8" s="1">
        <v>65.282799999999995</v>
      </c>
      <c r="D8" s="1">
        <v>65.776200000000003</v>
      </c>
      <c r="E8" s="1">
        <v>50.419899999999998</v>
      </c>
      <c r="F8" s="1">
        <v>45.254600000000003</v>
      </c>
      <c r="G8" s="1">
        <v>47.067399999999999</v>
      </c>
      <c r="H8" s="1">
        <f>B8/100</f>
        <v>0.73486800000000008</v>
      </c>
      <c r="I8" s="1">
        <f>D8/100</f>
        <v>0.65776200000000007</v>
      </c>
      <c r="J8" s="1"/>
    </row>
    <row r="9" spans="1:23">
      <c r="A9" s="1">
        <v>2010</v>
      </c>
      <c r="B9" s="1">
        <v>26.1187</v>
      </c>
      <c r="C9" s="1">
        <v>30.802800000000001</v>
      </c>
      <c r="D9" s="1">
        <v>28.151499999999999</v>
      </c>
      <c r="E9" s="1">
        <v>26.9818</v>
      </c>
      <c r="F9" s="1">
        <v>24.997699999999998</v>
      </c>
      <c r="G9" s="1">
        <v>18.509499999999999</v>
      </c>
      <c r="H9" s="1">
        <f>B9/100</f>
        <v>0.261187</v>
      </c>
      <c r="I9" s="1">
        <f>D9/100</f>
        <v>0.28151499999999996</v>
      </c>
      <c r="J9" s="1"/>
    </row>
    <row r="10" spans="1:23">
      <c r="A10" s="1">
        <v>2011</v>
      </c>
      <c r="B10" s="1">
        <v>-16.506</v>
      </c>
      <c r="C10" s="1">
        <v>-8.5218000000000007</v>
      </c>
      <c r="D10" s="1">
        <v>-9.7483000000000004</v>
      </c>
      <c r="E10" s="1">
        <v>0.64980000000000004</v>
      </c>
      <c r="F10" s="1">
        <v>1.4821</v>
      </c>
      <c r="G10" s="1">
        <v>-3.827</v>
      </c>
      <c r="H10" s="1">
        <f>B10/100</f>
        <v>-0.16506000000000001</v>
      </c>
      <c r="I10" s="1">
        <f>D10/100</f>
        <v>-9.7483E-2</v>
      </c>
      <c r="J10" s="1"/>
      <c r="L10" s="1" t="s">
        <v>10</v>
      </c>
      <c r="M10" s="1" t="s">
        <v>11</v>
      </c>
      <c r="N10" s="1" t="s">
        <v>12</v>
      </c>
      <c r="O10" s="1" t="s">
        <v>13</v>
      </c>
      <c r="P10" s="1" t="s">
        <v>14</v>
      </c>
      <c r="S10" s="1" t="s">
        <v>15</v>
      </c>
      <c r="T10" s="1" t="s">
        <v>11</v>
      </c>
      <c r="U10" s="1" t="s">
        <v>12</v>
      </c>
      <c r="V10" s="1" t="s">
        <v>13</v>
      </c>
      <c r="W10" s="1" t="s">
        <v>14</v>
      </c>
    </row>
    <row r="11" spans="1:23">
      <c r="A11" s="1">
        <v>2012</v>
      </c>
      <c r="B11" s="1">
        <v>12.8431</v>
      </c>
      <c r="C11" s="1">
        <v>15.6485</v>
      </c>
      <c r="D11" s="1">
        <v>26.9209</v>
      </c>
      <c r="E11" s="1">
        <v>17.0261</v>
      </c>
      <c r="F11" s="1">
        <v>16.110600000000002</v>
      </c>
      <c r="G11" s="1">
        <v>23.270299999999999</v>
      </c>
      <c r="H11" s="1">
        <f>B11/100</f>
        <v>0.12843099999999999</v>
      </c>
      <c r="I11" s="1">
        <f>D11/100</f>
        <v>0.26920899999999998</v>
      </c>
      <c r="J11" s="1"/>
      <c r="L11" s="1">
        <v>-2</v>
      </c>
      <c r="M11" s="1">
        <f>1-L11</f>
        <v>3</v>
      </c>
      <c r="N11" s="1">
        <f>L11*$C$29 + M11*$D$29</f>
        <v>0.21794955000000016</v>
      </c>
      <c r="O11" s="1">
        <f>L11^2*$C$30^2 + M11^2*$D$30^2 + 2*L11*M11*$C$35</f>
        <v>0.26020910866731284</v>
      </c>
      <c r="P11" s="1">
        <f>SQRT(O11)</f>
        <v>0.51010695806596562</v>
      </c>
      <c r="S11" s="1">
        <v>-2</v>
      </c>
      <c r="T11" s="1">
        <f>1-S11</f>
        <v>3</v>
      </c>
      <c r="U11" s="1">
        <f>S11*$C$29 + T11*$D$29</f>
        <v>0.21794955000000016</v>
      </c>
      <c r="V11" s="1">
        <f>L11^2*$C$30^2 + M11^2*$D$30^2 + 2*L11*M11*($C$30*$D$30)</f>
        <v>6.2527599897464814E-2</v>
      </c>
      <c r="W11" s="1">
        <f>SQRT(V11)</f>
        <v>0.25005519370224011</v>
      </c>
    </row>
    <row r="12" spans="1:23">
      <c r="A12" s="1">
        <v>2013</v>
      </c>
      <c r="B12" s="1">
        <v>43.562399999999997</v>
      </c>
      <c r="C12" s="1">
        <v>45.7836</v>
      </c>
      <c r="D12" s="1">
        <v>47.145899999999997</v>
      </c>
      <c r="E12" s="1">
        <v>38.321399999999997</v>
      </c>
      <c r="F12" s="1">
        <v>36.874600000000001</v>
      </c>
      <c r="G12" s="1">
        <v>44.2121</v>
      </c>
      <c r="H12" s="1">
        <f>B12/100</f>
        <v>0.43562399999999996</v>
      </c>
      <c r="I12" s="1">
        <f>D12/100</f>
        <v>0.47145899999999996</v>
      </c>
      <c r="J12" s="1"/>
      <c r="L12" s="1">
        <f>L11+0.1</f>
        <v>-1.9</v>
      </c>
      <c r="M12" s="1">
        <f t="shared" ref="M12:M51" si="0">1-L12</f>
        <v>2.9</v>
      </c>
      <c r="N12" s="1">
        <f>L12*$C$29 + M12*$D$29</f>
        <v>0.2134749100000001</v>
      </c>
      <c r="O12" s="1">
        <f>L12^2*$C$30^2 + M12^2*$D$30^2 + 2*L12*M12*$C$35</f>
        <v>0.24477776977355448</v>
      </c>
      <c r="P12" s="1">
        <f t="shared" ref="P12:P51" si="1">SQRT(O12)</f>
        <v>0.49475020947297688</v>
      </c>
      <c r="S12" s="1">
        <f>S11+0.1</f>
        <v>-1.9</v>
      </c>
      <c r="T12" s="1">
        <f t="shared" ref="T12:T51" si="2">1-S12</f>
        <v>2.9</v>
      </c>
      <c r="U12" s="1">
        <f>S12*$C$29 + T12*$D$29</f>
        <v>0.2134749100000001</v>
      </c>
      <c r="V12" s="1">
        <f>L12^2*$C$30^2 + M12^2*$D$30^2 + 2*L12*M12*($C$30*$D$30)</f>
        <v>6.3240250886577254E-2</v>
      </c>
      <c r="W12" s="1">
        <f t="shared" ref="W12:W51" si="3">SQRT(V12)</f>
        <v>0.25147614377228161</v>
      </c>
    </row>
    <row r="13" spans="1:23">
      <c r="A13" s="1">
        <v>2014</v>
      </c>
      <c r="B13" s="1">
        <v>1.2201</v>
      </c>
      <c r="C13" s="1">
        <v>2.9159999999999999</v>
      </c>
      <c r="D13" s="1">
        <v>2.3973</v>
      </c>
      <c r="E13" s="1">
        <v>11.2522</v>
      </c>
      <c r="F13" s="1">
        <v>10.457599999999999</v>
      </c>
      <c r="G13" s="1">
        <v>5.8281000000000001</v>
      </c>
      <c r="H13" s="1">
        <f>B13/100</f>
        <v>1.2201E-2</v>
      </c>
      <c r="I13" s="1">
        <f>D13/100</f>
        <v>2.3973000000000001E-2</v>
      </c>
      <c r="J13" s="1"/>
      <c r="L13" s="1">
        <f>L12+0.1</f>
        <v>-1.7999999999999998</v>
      </c>
      <c r="M13" s="1">
        <f t="shared" si="0"/>
        <v>2.8</v>
      </c>
      <c r="N13" s="1">
        <f>L13*$C$29 + M13*$D$29</f>
        <v>0.20900027000000013</v>
      </c>
      <c r="O13" s="1">
        <f>L13^2*$C$30^2 + M13^2*$D$30^2 + 2*L13*M13*$C$35</f>
        <v>0.23000940744056508</v>
      </c>
      <c r="P13" s="1">
        <f t="shared" si="1"/>
        <v>0.47959296016576919</v>
      </c>
      <c r="S13" s="1">
        <f>S12+0.1</f>
        <v>-1.7999999999999998</v>
      </c>
      <c r="T13" s="1">
        <f t="shared" si="2"/>
        <v>2.8</v>
      </c>
      <c r="U13" s="1">
        <f>S13*$C$29 + T13*$D$29</f>
        <v>0.20900027000000013</v>
      </c>
      <c r="V13" s="1">
        <f>L13^2*$C$30^2 + M13^2*$D$30^2 + 2*L13*M13*($C$30*$D$30)</f>
        <v>6.3956940073892743E-2</v>
      </c>
      <c r="W13" s="1">
        <f t="shared" si="3"/>
        <v>0.25289709384232301</v>
      </c>
    </row>
    <row r="14" spans="1:23">
      <c r="A14" s="1">
        <v>2015</v>
      </c>
      <c r="B14" s="1">
        <v>-5.7775999999999996</v>
      </c>
      <c r="C14" s="1">
        <v>-5.9142999999999999</v>
      </c>
      <c r="D14" s="1">
        <v>-8.9766999999999992</v>
      </c>
      <c r="E14" s="1">
        <v>0.62880000000000003</v>
      </c>
      <c r="F14" s="1">
        <v>-3.3734999999999999</v>
      </c>
      <c r="G14" s="1">
        <v>-11.8598</v>
      </c>
      <c r="H14" s="1">
        <f>B14/100</f>
        <v>-5.7775999999999994E-2</v>
      </c>
      <c r="I14" s="1">
        <f>D14/100</f>
        <v>-8.9766999999999986E-2</v>
      </c>
      <c r="J14" s="1"/>
      <c r="L14" s="1">
        <f>L13+0.1</f>
        <v>-1.6999999999999997</v>
      </c>
      <c r="M14" s="1">
        <f t="shared" si="0"/>
        <v>2.6999999999999997</v>
      </c>
      <c r="N14" s="1">
        <f>L14*$C$29 + M14*$D$29</f>
        <v>0.20452563000000012</v>
      </c>
      <c r="O14" s="1">
        <f>L14^2*$C$30^2 + M14^2*$D$30^2 + 2*L14*M14*$C$35</f>
        <v>0.2159040216683451</v>
      </c>
      <c r="P14" s="1">
        <f t="shared" si="1"/>
        <v>0.4646547338275433</v>
      </c>
      <c r="S14" s="1">
        <f>S13+0.1</f>
        <v>-1.6999999999999997</v>
      </c>
      <c r="T14" s="1">
        <f t="shared" si="2"/>
        <v>2.6999999999999997</v>
      </c>
      <c r="U14" s="1">
        <f>S14*$C$29 + T14*$D$29</f>
        <v>0.20452563000000012</v>
      </c>
      <c r="V14" s="1">
        <f>L14^2*$C$30^2 + M14^2*$D$30^2 + 2*L14*M14*($C$30*$D$30)</f>
        <v>6.4677667459411392E-2</v>
      </c>
      <c r="W14" s="1">
        <f t="shared" si="3"/>
        <v>0.25431804391236457</v>
      </c>
    </row>
    <row r="15" spans="1:23">
      <c r="A15" s="1">
        <v>2016</v>
      </c>
      <c r="B15" s="1">
        <v>1.3303</v>
      </c>
      <c r="C15" s="1">
        <v>20.682099999999998</v>
      </c>
      <c r="D15" s="1">
        <v>32.236800000000002</v>
      </c>
      <c r="E15" s="1">
        <v>8.8033999999999999</v>
      </c>
      <c r="F15" s="1">
        <v>19.3047</v>
      </c>
      <c r="G15" s="1">
        <v>28.965</v>
      </c>
      <c r="H15" s="1">
        <f>B15/100</f>
        <v>1.3303000000000001E-2</v>
      </c>
      <c r="I15" s="1">
        <f>D15/100</f>
        <v>0.32236800000000004</v>
      </c>
      <c r="J15" s="1"/>
      <c r="L15" s="1">
        <f>L14+0.1</f>
        <v>-1.5999999999999996</v>
      </c>
      <c r="M15" s="1">
        <f t="shared" si="0"/>
        <v>2.5999999999999996</v>
      </c>
      <c r="N15" s="1">
        <f>L15*$C$29 + M15*$D$29</f>
        <v>0.20005099000000007</v>
      </c>
      <c r="O15" s="1">
        <f>L15^2*$C$30^2 + M15^2*$D$30^2 + 2*L15*M15*$C$35</f>
        <v>0.20246161245689454</v>
      </c>
      <c r="P15" s="1">
        <f t="shared" si="1"/>
        <v>0.44995734515273172</v>
      </c>
      <c r="S15" s="1">
        <f>S14+0.1</f>
        <v>-1.5999999999999996</v>
      </c>
      <c r="T15" s="1">
        <f t="shared" si="2"/>
        <v>2.5999999999999996</v>
      </c>
      <c r="U15" s="1">
        <f>S15*$C$29 + T15*$D$29</f>
        <v>0.20005099000000007</v>
      </c>
      <c r="V15" s="1">
        <f>L15^2*$C$30^2 + M15^2*$D$30^2 + 2*L15*M15*($C$30*$D$30)</f>
        <v>6.5402433043133201E-2</v>
      </c>
      <c r="W15" s="1">
        <f t="shared" si="3"/>
        <v>0.25573899398240624</v>
      </c>
    </row>
    <row r="16" spans="1:23">
      <c r="A16" s="1">
        <v>2017</v>
      </c>
      <c r="B16" s="1">
        <v>18.9527</v>
      </c>
      <c r="C16" s="1">
        <v>14.8004</v>
      </c>
      <c r="D16" s="1">
        <v>15.3795</v>
      </c>
      <c r="E16" s="1">
        <v>27.711500000000001</v>
      </c>
      <c r="F16" s="1">
        <v>17.779</v>
      </c>
      <c r="G16" s="1">
        <v>12.335000000000001</v>
      </c>
      <c r="H16" s="1">
        <f>B16/100</f>
        <v>0.189527</v>
      </c>
      <c r="I16" s="1">
        <f>D16/100</f>
        <v>0.15379500000000002</v>
      </c>
      <c r="J16" s="1"/>
      <c r="L16" s="1">
        <f>L15+0.1</f>
        <v>-1.4999999999999996</v>
      </c>
      <c r="M16" s="1">
        <f t="shared" si="0"/>
        <v>2.4999999999999996</v>
      </c>
      <c r="N16" s="1">
        <f>L16*$C$29 + M16*$D$29</f>
        <v>0.19557635000000007</v>
      </c>
      <c r="O16" s="1">
        <f>L16^2*$C$30^2 + M16^2*$D$30^2 + 2*L16*M16*$C$35</f>
        <v>0.18968217980621305</v>
      </c>
      <c r="P16" s="1">
        <f t="shared" si="1"/>
        <v>0.43552517700612103</v>
      </c>
      <c r="S16" s="1">
        <f>S15+0.1</f>
        <v>-1.4999999999999996</v>
      </c>
      <c r="T16" s="1">
        <f t="shared" si="2"/>
        <v>2.4999999999999996</v>
      </c>
      <c r="U16" s="1">
        <f>S16*$C$29 + T16*$D$29</f>
        <v>0.19557635000000007</v>
      </c>
      <c r="V16" s="1">
        <f>L16^2*$C$30^2 + M16^2*$D$30^2 + 2*L16*M16*($C$30*$D$30)</f>
        <v>6.613123682505806E-2</v>
      </c>
      <c r="W16" s="1">
        <f t="shared" si="3"/>
        <v>0.25715994405244774</v>
      </c>
    </row>
    <row r="17" spans="1:23">
      <c r="A17" s="1">
        <v>2018</v>
      </c>
      <c r="B17" s="1">
        <v>-16.584</v>
      </c>
      <c r="C17" s="1">
        <v>-16.6403</v>
      </c>
      <c r="D17" s="1">
        <v>-18.545000000000002</v>
      </c>
      <c r="E17" s="1">
        <v>-4.5781999999999998</v>
      </c>
      <c r="F17" s="1">
        <v>-10.0688</v>
      </c>
      <c r="G17" s="1">
        <v>-18.358599999999999</v>
      </c>
      <c r="H17" s="1">
        <f>B17/100</f>
        <v>-0.16583999999999999</v>
      </c>
      <c r="I17" s="1">
        <f>D17/100</f>
        <v>-0.18545</v>
      </c>
      <c r="J17" s="1"/>
      <c r="L17" s="1">
        <f>L16+0.1</f>
        <v>-1.3999999999999995</v>
      </c>
      <c r="M17" s="1">
        <f t="shared" si="0"/>
        <v>2.3999999999999995</v>
      </c>
      <c r="N17" s="1">
        <f>L17*$C$29 + M17*$D$29</f>
        <v>0.19110171000000009</v>
      </c>
      <c r="O17" s="1">
        <f>L17^2*$C$30^2 + M17^2*$D$30^2 + 2*L17*M17*$C$35</f>
        <v>0.17756572371630069</v>
      </c>
      <c r="P17" s="1">
        <f t="shared" si="1"/>
        <v>0.42138548114084412</v>
      </c>
      <c r="S17" s="1">
        <f>S16+0.1</f>
        <v>-1.3999999999999995</v>
      </c>
      <c r="T17" s="1">
        <f t="shared" si="2"/>
        <v>2.3999999999999995</v>
      </c>
      <c r="U17" s="1">
        <f>S17*$C$29 + T17*$D$29</f>
        <v>0.19110171000000009</v>
      </c>
      <c r="V17" s="1">
        <f>L17^2*$C$30^2 + M17^2*$D$30^2 + 2*L17*M17*($C$30*$D$30)</f>
        <v>6.6864078805185856E-2</v>
      </c>
      <c r="W17" s="1">
        <f t="shared" si="3"/>
        <v>0.25858089412248897</v>
      </c>
    </row>
    <row r="18" spans="1:23">
      <c r="A18" s="1">
        <v>2019</v>
      </c>
      <c r="B18" s="1">
        <v>32.867800000000003</v>
      </c>
      <c r="C18" s="1">
        <v>19.1738</v>
      </c>
      <c r="D18" s="1">
        <v>14.306800000000001</v>
      </c>
      <c r="E18" s="1">
        <v>33.856299999999997</v>
      </c>
      <c r="F18" s="1">
        <v>28.902899999999999</v>
      </c>
      <c r="G18" s="1">
        <v>26.9742</v>
      </c>
      <c r="H18" s="1">
        <f>B18/100</f>
        <v>0.32867800000000003</v>
      </c>
      <c r="I18" s="1">
        <f>D18/100</f>
        <v>0.143068</v>
      </c>
      <c r="J18" s="1"/>
      <c r="L18" s="1">
        <f t="shared" ref="L18:L51" si="4">L17+0.1</f>
        <v>-1.2999999999999994</v>
      </c>
      <c r="M18" s="1">
        <f t="shared" si="0"/>
        <v>2.2999999999999994</v>
      </c>
      <c r="N18" s="1">
        <f>L18*$C$29 + M18*$D$29</f>
        <v>0.18662707000000009</v>
      </c>
      <c r="O18" s="1">
        <f>L18^2*$C$30^2 + M18^2*$D$30^2 + 2*L18*M18*$C$35</f>
        <v>0.16611224418715786</v>
      </c>
      <c r="P18" s="1">
        <f t="shared" si="1"/>
        <v>0.40756869873330298</v>
      </c>
      <c r="S18" s="1">
        <f t="shared" ref="S18:S51" si="5">S17+0.1</f>
        <v>-1.2999999999999994</v>
      </c>
      <c r="T18" s="1">
        <f t="shared" si="2"/>
        <v>2.2999999999999994</v>
      </c>
      <c r="U18" s="1">
        <f>S18*$C$29 + T18*$D$29</f>
        <v>0.18662707000000009</v>
      </c>
      <c r="V18" s="1">
        <f>L18^2*$C$30^2 + M18^2*$D$30^2 + 2*L18*M18*($C$30*$D$30)</f>
        <v>6.7600958983516979E-2</v>
      </c>
      <c r="W18" s="1">
        <f t="shared" si="3"/>
        <v>0.26000184419253064</v>
      </c>
    </row>
    <row r="19" spans="1:23">
      <c r="A19" s="1">
        <v>2020</v>
      </c>
      <c r="B19" s="1">
        <v>60.8917</v>
      </c>
      <c r="C19" s="1">
        <v>35.383200000000002</v>
      </c>
      <c r="D19" s="1">
        <v>33.4818</v>
      </c>
      <c r="E19" s="1">
        <v>35.504800000000003</v>
      </c>
      <c r="F19" s="1">
        <v>10.1286</v>
      </c>
      <c r="G19" s="1">
        <v>1.1580999999999999</v>
      </c>
      <c r="H19" s="1">
        <f>B19/100</f>
        <v>0.60891700000000004</v>
      </c>
      <c r="I19" s="1">
        <f>D19/100</f>
        <v>0.334818</v>
      </c>
      <c r="J19" s="1"/>
      <c r="L19" s="1">
        <f t="shared" si="4"/>
        <v>-1.1999999999999993</v>
      </c>
      <c r="M19" s="1">
        <f t="shared" si="0"/>
        <v>2.1999999999999993</v>
      </c>
      <c r="N19" s="1">
        <f>L19*$C$29 + M19*$D$29</f>
        <v>0.18215243000000003</v>
      </c>
      <c r="O19" s="1">
        <f>L19^2*$C$30^2 + M19^2*$D$30^2 + 2*L19*M19*$C$35</f>
        <v>0.15532174121878417</v>
      </c>
      <c r="P19" s="1">
        <f t="shared" si="1"/>
        <v>0.39410879363290557</v>
      </c>
      <c r="S19" s="1">
        <f t="shared" si="5"/>
        <v>-1.1999999999999993</v>
      </c>
      <c r="T19" s="1">
        <f t="shared" si="2"/>
        <v>2.1999999999999993</v>
      </c>
      <c r="U19" s="1">
        <f>S19*$C$29 + T19*$D$29</f>
        <v>0.18215243000000003</v>
      </c>
      <c r="V19" s="1">
        <f>L19^2*$C$30^2 + M19^2*$D$30^2 + 2*L19*M19*($C$30*$D$30)</f>
        <v>6.8341877360051095E-2</v>
      </c>
      <c r="W19" s="1">
        <f t="shared" si="3"/>
        <v>0.26142279426257209</v>
      </c>
    </row>
    <row r="20" spans="1:23">
      <c r="A20" s="1">
        <v>2021</v>
      </c>
      <c r="B20" s="1">
        <v>-2.2801</v>
      </c>
      <c r="C20" s="1">
        <v>18.897099999999998</v>
      </c>
      <c r="D20" s="1">
        <v>57.383099999999999</v>
      </c>
      <c r="E20" s="1">
        <v>10.7363</v>
      </c>
      <c r="F20" s="1">
        <v>26.0153</v>
      </c>
      <c r="G20" s="1">
        <v>36.149000000000001</v>
      </c>
      <c r="H20" s="1">
        <f>B20/100</f>
        <v>-2.2801000000000002E-2</v>
      </c>
      <c r="I20" s="1">
        <f>D20/100</f>
        <v>0.57383099999999998</v>
      </c>
      <c r="J20" s="1"/>
      <c r="L20" s="1">
        <f t="shared" si="4"/>
        <v>-1.0999999999999992</v>
      </c>
      <c r="M20" s="1">
        <f t="shared" si="0"/>
        <v>2.0999999999999992</v>
      </c>
      <c r="N20" s="1">
        <f>L20*$C$29 + M20*$D$29</f>
        <v>0.17767779000000006</v>
      </c>
      <c r="O20" s="1">
        <f>L20^2*$C$30^2 + M20^2*$D$30^2 + 2*L20*M20*$C$35</f>
        <v>0.14519421481117978</v>
      </c>
      <c r="P20" s="1">
        <f t="shared" si="1"/>
        <v>0.38104358649789632</v>
      </c>
      <c r="S20" s="1">
        <f t="shared" si="5"/>
        <v>-1.0999999999999992</v>
      </c>
      <c r="T20" s="1">
        <f t="shared" si="2"/>
        <v>2.0999999999999992</v>
      </c>
      <c r="U20" s="1">
        <f>S20*$C$29 + T20*$D$29</f>
        <v>0.17767779000000006</v>
      </c>
      <c r="V20" s="1">
        <f>L20^2*$C$30^2 + M20^2*$D$30^2 + 2*L20*M20*($C$30*$D$30)</f>
        <v>6.9086833934788316E-2</v>
      </c>
      <c r="W20" s="1">
        <f t="shared" si="3"/>
        <v>0.26284374433261354</v>
      </c>
    </row>
    <row r="21" spans="1:23">
      <c r="A21" s="1">
        <v>2022</v>
      </c>
      <c r="B21" s="1">
        <v>-36.961599999999997</v>
      </c>
      <c r="C21" s="1">
        <v>-28.380600000000001</v>
      </c>
      <c r="D21" s="1">
        <v>-18.2257</v>
      </c>
      <c r="E21" s="1">
        <v>-26.203299999999999</v>
      </c>
      <c r="F21" s="1">
        <v>-9.2446000000000002</v>
      </c>
      <c r="G21" s="1">
        <v>-2.5146000000000002</v>
      </c>
      <c r="H21" s="1">
        <f>B21/100</f>
        <v>-0.36961599999999994</v>
      </c>
      <c r="I21" s="1">
        <f>D21/100</f>
        <v>-0.182257</v>
      </c>
      <c r="J21" s="1"/>
      <c r="L21" s="1">
        <f t="shared" si="4"/>
        <v>-0.99999999999999922</v>
      </c>
      <c r="M21" s="1">
        <f t="shared" si="0"/>
        <v>1.9999999999999991</v>
      </c>
      <c r="N21" s="1">
        <f>L21*$C$29 + M21*$D$29</f>
        <v>0.17320315000000003</v>
      </c>
      <c r="O21" s="1">
        <f>L21^2*$C$30^2 + M21^2*$D$30^2 + 2*L21*M21*$C$35</f>
        <v>0.13572966496434458</v>
      </c>
      <c r="P21" s="1">
        <f t="shared" si="1"/>
        <v>0.36841507157599374</v>
      </c>
      <c r="S21" s="1">
        <f t="shared" si="5"/>
        <v>-0.99999999999999922</v>
      </c>
      <c r="T21" s="1">
        <f t="shared" si="2"/>
        <v>1.9999999999999991</v>
      </c>
      <c r="U21" s="1">
        <f>S21*$C$29 + T21*$D$29</f>
        <v>0.17320315000000003</v>
      </c>
      <c r="V21" s="1">
        <f>L21^2*$C$30^2 + M21^2*$D$30^2 + 2*L21*M21*($C$30*$D$30)</f>
        <v>6.9835828707728587E-2</v>
      </c>
      <c r="W21" s="1">
        <f t="shared" si="3"/>
        <v>0.26426469440265493</v>
      </c>
    </row>
    <row r="22" spans="1:23">
      <c r="A22" s="1">
        <v>2023</v>
      </c>
      <c r="B22" s="1">
        <v>2.3702999999999999</v>
      </c>
      <c r="C22" s="1">
        <v>15.2592</v>
      </c>
      <c r="D22" s="1">
        <v>7.7232000000000003</v>
      </c>
      <c r="E22" s="1">
        <v>27.473700000000001</v>
      </c>
      <c r="F22" s="1">
        <v>13.0671</v>
      </c>
      <c r="G22" s="1">
        <v>11.390499999999999</v>
      </c>
      <c r="H22" s="1">
        <f>B22/100</f>
        <v>2.3702999999999998E-2</v>
      </c>
      <c r="I22" s="1">
        <f>D22/100</f>
        <v>7.7232000000000009E-2</v>
      </c>
      <c r="J22" s="1"/>
      <c r="L22" s="1">
        <f t="shared" si="4"/>
        <v>-0.89999999999999925</v>
      </c>
      <c r="M22" s="1">
        <f t="shared" si="0"/>
        <v>1.8999999999999992</v>
      </c>
      <c r="N22" s="1">
        <f>L22*$C$29 + M22*$D$29</f>
        <v>0.16872851000000005</v>
      </c>
      <c r="O22" s="1">
        <f>L22^2*$C$30^2 + M22^2*$D$30^2 + 2*L22*M22*$C$35</f>
        <v>0.1269280916782787</v>
      </c>
      <c r="P22" s="1">
        <f t="shared" si="1"/>
        <v>0.35626968953066818</v>
      </c>
      <c r="S22" s="1">
        <f t="shared" si="5"/>
        <v>-0.89999999999999925</v>
      </c>
      <c r="T22" s="1">
        <f t="shared" si="2"/>
        <v>1.8999999999999992</v>
      </c>
      <c r="U22" s="1">
        <f>S22*$C$29 + T22*$D$29</f>
        <v>0.16872851000000005</v>
      </c>
      <c r="V22" s="1">
        <f>L22^2*$C$30^2 + M22^2*$D$30^2 + 2*L22*M22*($C$30*$D$30)</f>
        <v>7.0588861678872072E-2</v>
      </c>
      <c r="W22" s="1">
        <f t="shared" si="3"/>
        <v>0.26568564447269649</v>
      </c>
    </row>
    <row r="23" spans="1:23">
      <c r="A23" s="1">
        <v>2024</v>
      </c>
      <c r="B23" s="1">
        <v>5.9531999999999998</v>
      </c>
      <c r="C23" s="1">
        <v>3.8767</v>
      </c>
      <c r="D23" s="1">
        <v>13.563000000000001</v>
      </c>
      <c r="E23" s="1">
        <v>14.306800000000001</v>
      </c>
      <c r="F23" s="1">
        <v>11.718500000000001</v>
      </c>
      <c r="G23" s="1">
        <v>12.4627</v>
      </c>
      <c r="H23" s="1">
        <f>B23/100</f>
        <v>5.9532000000000002E-2</v>
      </c>
      <c r="I23" s="1">
        <f>D23/100</f>
        <v>0.13563</v>
      </c>
      <c r="J23" s="1"/>
      <c r="L23" s="1">
        <f t="shared" si="4"/>
        <v>-0.79999999999999927</v>
      </c>
      <c r="M23" s="1">
        <f t="shared" si="0"/>
        <v>1.7999999999999994</v>
      </c>
      <c r="N23" s="1">
        <f>L23*$C$29 + M23*$D$29</f>
        <v>0.16425387000000005</v>
      </c>
      <c r="O23" s="1">
        <f>L23^2*$C$30^2 + M23^2*$D$30^2 + 2*L23*M23*$C$35</f>
        <v>0.11878949495298211</v>
      </c>
      <c r="P23" s="1">
        <f t="shared" si="1"/>
        <v>0.3446585193390439</v>
      </c>
      <c r="S23" s="1">
        <f t="shared" si="5"/>
        <v>-0.79999999999999927</v>
      </c>
      <c r="T23" s="1">
        <f t="shared" si="2"/>
        <v>1.7999999999999994</v>
      </c>
      <c r="U23" s="1">
        <f>S23*$C$29 + T23*$D$29</f>
        <v>0.16425387000000005</v>
      </c>
      <c r="V23" s="1">
        <f>L23^2*$C$30^2 + M23^2*$D$30^2 + 2*L23*M23*($C$30*$D$30)</f>
        <v>7.1345932848218607E-2</v>
      </c>
      <c r="W23" s="1">
        <f t="shared" si="3"/>
        <v>0.26710659454273794</v>
      </c>
    </row>
    <row r="24" spans="1:23">
      <c r="A24" s="1">
        <v>2025</v>
      </c>
      <c r="B24" s="1">
        <v>5.5399000000000003</v>
      </c>
      <c r="C24" s="1">
        <v>10.0372</v>
      </c>
      <c r="D24" s="1">
        <v>8.4366000000000003</v>
      </c>
      <c r="E24" s="1">
        <v>9.0925999999999991</v>
      </c>
      <c r="F24" s="1">
        <v>9.3285</v>
      </c>
      <c r="G24" s="1">
        <v>16.910699999999999</v>
      </c>
      <c r="H24" s="1">
        <f>B24/100</f>
        <v>5.5399000000000004E-2</v>
      </c>
      <c r="I24" s="1">
        <f>D24/100</f>
        <v>8.4365999999999997E-2</v>
      </c>
      <c r="J24" s="1"/>
      <c r="L24" s="1">
        <f t="shared" si="4"/>
        <v>-0.69999999999999929</v>
      </c>
      <c r="M24" s="1">
        <f t="shared" si="0"/>
        <v>1.6999999999999993</v>
      </c>
      <c r="N24" s="1">
        <f>L24*$C$29 + M24*$D$29</f>
        <v>0.15977923000000002</v>
      </c>
      <c r="O24" s="1">
        <f>L24^2*$C$30^2 + M24^2*$D$30^2 + 2*L24*M24*$C$35</f>
        <v>0.11131387478845473</v>
      </c>
      <c r="P24" s="1">
        <f t="shared" si="1"/>
        <v>0.33363734021906888</v>
      </c>
      <c r="S24" s="1">
        <f t="shared" si="5"/>
        <v>-0.69999999999999929</v>
      </c>
      <c r="T24" s="1">
        <f t="shared" si="2"/>
        <v>1.6999999999999993</v>
      </c>
      <c r="U24" s="1">
        <f>S24*$C$29 + T24*$D$29</f>
        <v>0.15977923000000002</v>
      </c>
      <c r="V24" s="1">
        <f>L24^2*$C$30^2 + M24^2*$D$30^2 + 2*L24*M24*($C$30*$D$30)</f>
        <v>7.2107042215768247E-2</v>
      </c>
      <c r="W24" s="1">
        <f t="shared" si="3"/>
        <v>0.26852754461277945</v>
      </c>
    </row>
    <row r="25" spans="1:23">
      <c r="L25" s="1">
        <f t="shared" si="4"/>
        <v>-0.59999999999999931</v>
      </c>
      <c r="M25" s="1">
        <f t="shared" si="0"/>
        <v>1.5999999999999992</v>
      </c>
      <c r="N25" s="1">
        <f>L25*$C$29 + M25*$D$29</f>
        <v>0.15530459000000002</v>
      </c>
      <c r="O25" s="1">
        <f>L25^2*$C$30^2 + M25^2*$D$30^2 + 2*L25*M25*$C$35</f>
        <v>0.10450123118469662</v>
      </c>
      <c r="P25" s="1">
        <f t="shared" si="1"/>
        <v>0.32326650179796951</v>
      </c>
      <c r="S25" s="1">
        <f t="shared" si="5"/>
        <v>-0.59999999999999931</v>
      </c>
      <c r="T25" s="1">
        <f t="shared" si="2"/>
        <v>1.5999999999999992</v>
      </c>
      <c r="U25" s="1">
        <f>S25*$C$29 + T25*$D$29</f>
        <v>0.15530459000000002</v>
      </c>
      <c r="V25" s="1">
        <f>L25^2*$C$30^2 + M25^2*$D$30^2 + 2*L25*M25*($C$30*$D$30)</f>
        <v>7.2872189781520963E-2</v>
      </c>
      <c r="W25" s="1">
        <f t="shared" si="3"/>
        <v>0.26994849468282084</v>
      </c>
    </row>
    <row r="26" spans="1:23">
      <c r="L26" s="1">
        <f t="shared" si="4"/>
        <v>-0.49999999999999933</v>
      </c>
      <c r="M26" s="1">
        <f t="shared" si="0"/>
        <v>1.4999999999999993</v>
      </c>
      <c r="N26" s="1">
        <f>L26*$C$29 + M26*$D$29</f>
        <v>0.15082995000000002</v>
      </c>
      <c r="O26" s="1">
        <f>L26^2*$C$30^2 + M26^2*$D$30^2 + 2*L26*M26*$C$35</f>
        <v>9.8351564141707828E-2</v>
      </c>
      <c r="P26" s="1">
        <f t="shared" si="1"/>
        <v>0.31361052938590539</v>
      </c>
      <c r="S26" s="1">
        <f t="shared" si="5"/>
        <v>-0.49999999999999933</v>
      </c>
      <c r="T26" s="1">
        <f t="shared" si="2"/>
        <v>1.4999999999999993</v>
      </c>
      <c r="U26" s="1">
        <f>S26*$C$29 + T26*$D$29</f>
        <v>0.15082995000000002</v>
      </c>
      <c r="V26" s="1">
        <f>L26^2*$C$30^2 + M26^2*$D$30^2 + 2*L26*M26*($C$30*$D$30)</f>
        <v>7.3641375545476853E-2</v>
      </c>
      <c r="W26" s="1">
        <f t="shared" si="3"/>
        <v>0.27136944475286245</v>
      </c>
    </row>
    <row r="27" spans="1:23">
      <c r="L27" s="1">
        <f t="shared" si="4"/>
        <v>-0.39999999999999936</v>
      </c>
      <c r="M27" s="1">
        <f t="shared" si="0"/>
        <v>1.3999999999999995</v>
      </c>
      <c r="N27" s="1">
        <f>L27*$C$29 + M27*$D$29</f>
        <v>0.14635531000000004</v>
      </c>
      <c r="O27" s="1">
        <f>L27^2*$C$30^2 + M27^2*$D$30^2 + 2*L27*M27*$C$35</f>
        <v>9.2864873659488284E-2</v>
      </c>
      <c r="P27" s="1">
        <f t="shared" si="1"/>
        <v>0.30473738474215512</v>
      </c>
      <c r="S27" s="1">
        <f t="shared" si="5"/>
        <v>-0.39999999999999936</v>
      </c>
      <c r="T27" s="1">
        <f t="shared" si="2"/>
        <v>1.3999999999999995</v>
      </c>
      <c r="U27" s="1">
        <f>S27*$C$29 + T27*$D$29</f>
        <v>0.14635531000000004</v>
      </c>
      <c r="V27" s="1">
        <f>L27^2*$C$30^2 + M27^2*$D$30^2 + 2*L27*M27*($C$30*$D$30)</f>
        <v>7.4414599507635834E-2</v>
      </c>
      <c r="W27" s="1">
        <f t="shared" si="3"/>
        <v>0.27279039482290396</v>
      </c>
    </row>
    <row r="28" spans="1:23">
      <c r="B28" s="1" t="s">
        <v>16</v>
      </c>
      <c r="C28" s="1" t="s">
        <v>17</v>
      </c>
      <c r="D28" s="1" t="s">
        <v>18</v>
      </c>
      <c r="L28" s="1">
        <f t="shared" si="4"/>
        <v>-0.29999999999999938</v>
      </c>
      <c r="M28" s="1">
        <f t="shared" si="0"/>
        <v>1.2999999999999994</v>
      </c>
      <c r="N28" s="1">
        <f>L28*$C$29 + M28*$D$29</f>
        <v>0.14188067000000001</v>
      </c>
      <c r="O28" s="1">
        <f>L28^2*$C$30^2 + M28^2*$D$30^2 + 2*L28*M28*$C$35</f>
        <v>8.8041159738037972E-2</v>
      </c>
      <c r="P28" s="1">
        <f t="shared" si="1"/>
        <v>0.29671730609797259</v>
      </c>
      <c r="S28" s="1">
        <f t="shared" si="5"/>
        <v>-0.29999999999999938</v>
      </c>
      <c r="T28" s="1">
        <f t="shared" si="2"/>
        <v>1.2999999999999994</v>
      </c>
      <c r="U28" s="1">
        <f>S28*$C$29 + T28*$D$29</f>
        <v>0.14188067000000001</v>
      </c>
      <c r="V28" s="1">
        <f>L28^2*$C$30^2 + M28^2*$D$30^2 + 2*L28*M28*($C$30*$D$30)</f>
        <v>7.5191861667997864E-2</v>
      </c>
      <c r="W28" s="1">
        <f t="shared" si="3"/>
        <v>0.27421134489294541</v>
      </c>
    </row>
    <row r="29" spans="1:23">
      <c r="B29" s="1" t="s">
        <v>19</v>
      </c>
      <c r="C29" s="1">
        <f>AVERAGE(H5:H24)</f>
        <v>8.3710349999999989E-2</v>
      </c>
      <c r="D29" s="1">
        <f>AVERAGE(I5:I24)</f>
        <v>0.12845675000000004</v>
      </c>
      <c r="L29" s="1">
        <f t="shared" si="4"/>
        <v>-0.19999999999999937</v>
      </c>
      <c r="M29" s="1">
        <f t="shared" si="0"/>
        <v>1.1999999999999993</v>
      </c>
      <c r="N29" s="1">
        <f>L29*$C$29 + M29*$D$29</f>
        <v>0.13740603000000001</v>
      </c>
      <c r="O29" s="1">
        <f>L29^2*$C$30^2 + M29^2*$D$30^2 + 2*L29*M29*$C$35</f>
        <v>8.3880422377356906E-2</v>
      </c>
      <c r="P29" s="1">
        <f t="shared" si="1"/>
        <v>0.28962117045781877</v>
      </c>
      <c r="S29" s="1">
        <f t="shared" si="5"/>
        <v>-0.19999999999999937</v>
      </c>
      <c r="T29" s="1">
        <f t="shared" si="2"/>
        <v>1.1999999999999993</v>
      </c>
      <c r="U29" s="1">
        <f>S29*$C$29 + T29*$D$29</f>
        <v>0.13740603000000001</v>
      </c>
      <c r="V29" s="1">
        <f>L29^2*$C$30^2 + M29^2*$D$30^2 + 2*L29*M29*($C$30*$D$30)</f>
        <v>7.5973162026563013E-2</v>
      </c>
      <c r="W29" s="1">
        <f t="shared" si="3"/>
        <v>0.27563229496298691</v>
      </c>
    </row>
    <row r="30" spans="1:23">
      <c r="B30" s="1" t="s">
        <v>20</v>
      </c>
      <c r="C30" s="1">
        <f>_xlfn.STDEV.S(H5:H24)</f>
        <v>0.2926836958034848</v>
      </c>
      <c r="D30" s="1">
        <f>_xlfn.STDEV.S(I5:I24)</f>
        <v>0.27847419510306987</v>
      </c>
      <c r="L30" s="1">
        <f t="shared" si="4"/>
        <v>-9.9999999999999367E-2</v>
      </c>
      <c r="M30" s="1">
        <f t="shared" si="0"/>
        <v>1.0999999999999994</v>
      </c>
      <c r="N30" s="1">
        <f>L30*$C$29 + M30*$D$29</f>
        <v>0.13293139000000001</v>
      </c>
      <c r="O30" s="1">
        <f>L30^2*$C$30^2 + M30^2*$D$30^2 + 2*L30*M30*$C$35</f>
        <v>8.0382661577445128E-2</v>
      </c>
      <c r="P30" s="1">
        <f t="shared" si="1"/>
        <v>0.28351836197580771</v>
      </c>
      <c r="S30" s="1">
        <f t="shared" si="5"/>
        <v>-9.9999999999999367E-2</v>
      </c>
      <c r="T30" s="1">
        <f t="shared" si="2"/>
        <v>1.0999999999999994</v>
      </c>
      <c r="U30" s="1">
        <f>S30*$C$29 + T30*$D$29</f>
        <v>0.13293139000000001</v>
      </c>
      <c r="V30" s="1">
        <f>L30^2*$C$30^2 + M30^2*$D$30^2 + 2*L30*M30*($C$30*$D$30)</f>
        <v>7.6758500583331266E-2</v>
      </c>
      <c r="W30" s="1">
        <f t="shared" si="3"/>
        <v>0.27705324503302836</v>
      </c>
    </row>
    <row r="31" spans="1:23">
      <c r="B31" s="1" t="s">
        <v>21</v>
      </c>
      <c r="C31" s="1">
        <f>SKEW(H5:H24)</f>
        <v>0.42513027016701527</v>
      </c>
      <c r="D31" s="1">
        <f>SKEW(I5:I24)</f>
        <v>-5.3002575190128333E-2</v>
      </c>
      <c r="L31" s="1">
        <f>0</f>
        <v>0</v>
      </c>
      <c r="M31" s="1">
        <f t="shared" si="0"/>
        <v>1</v>
      </c>
      <c r="N31" s="1">
        <f>L31*$C$29 + M31*$D$29</f>
        <v>0.12845675000000004</v>
      </c>
      <c r="O31" s="1">
        <f>L31^2*$C$30^2 + M31^2*$D$30^2 + 2*L31*M31*$C$35</f>
        <v>7.7547877338302623E-2</v>
      </c>
      <c r="P31" s="1">
        <f t="shared" si="1"/>
        <v>0.27847419510306987</v>
      </c>
      <c r="S31" s="1">
        <f>0</f>
        <v>0</v>
      </c>
      <c r="T31" s="1">
        <f t="shared" si="2"/>
        <v>1</v>
      </c>
      <c r="U31" s="1">
        <f>S31*$C$29 + T31*$D$29</f>
        <v>0.12845675000000004</v>
      </c>
      <c r="V31" s="1">
        <f>L31^2*$C$30^2 + M31^2*$D$30^2 + 2*L31*M31*($C$30*$D$30)</f>
        <v>7.7547877338302623E-2</v>
      </c>
      <c r="W31" s="1">
        <f t="shared" si="3"/>
        <v>0.27847419510306987</v>
      </c>
    </row>
    <row r="32" spans="1:23">
      <c r="B32" s="1" t="s">
        <v>22</v>
      </c>
      <c r="C32" s="1">
        <f>KURT(H5:H24)</f>
        <v>0.62836245799148394</v>
      </c>
      <c r="D32" s="1">
        <f>KURT(I5:I24)</f>
        <v>-1.1705900844233064E-2</v>
      </c>
      <c r="L32" s="1">
        <f t="shared" si="4"/>
        <v>0.1</v>
      </c>
      <c r="M32" s="1">
        <f>1-L32</f>
        <v>0.9</v>
      </c>
      <c r="N32" s="1">
        <f>L32*$C$29 + M32*$D$29</f>
        <v>0.12398211000000003</v>
      </c>
      <c r="O32" s="1">
        <f>L32^2*$C$30^2 + M32^2*$D$30^2 + 2*L32*M32*$C$35</f>
        <v>7.5376069659929365E-2</v>
      </c>
      <c r="P32" s="1">
        <f t="shared" si="1"/>
        <v>0.27454702631776828</v>
      </c>
      <c r="S32" s="1">
        <f t="shared" ref="S32:S51" si="6">S31+0.1</f>
        <v>0.1</v>
      </c>
      <c r="T32" s="1">
        <f>1-S32</f>
        <v>0.9</v>
      </c>
      <c r="U32" s="1">
        <f>S32*$C$29 + T32*$D$29</f>
        <v>0.12398211000000003</v>
      </c>
      <c r="V32" s="1">
        <f>L32^2*$C$30^2 + M32^2*$D$30^2 + 2*L32*M32*($C$30*$D$30)</f>
        <v>7.8341292291477085E-2</v>
      </c>
      <c r="W32" s="1">
        <f t="shared" si="3"/>
        <v>0.27989514517311137</v>
      </c>
    </row>
    <row r="33" spans="2:23">
      <c r="L33" s="1">
        <f t="shared" si="4"/>
        <v>0.2</v>
      </c>
      <c r="M33" s="1">
        <f t="shared" si="0"/>
        <v>0.8</v>
      </c>
      <c r="N33" s="1">
        <f>L33*$C$29 + M33*$D$29</f>
        <v>0.11950747000000003</v>
      </c>
      <c r="O33" s="1">
        <f>L33^2*$C$30^2 + M33^2*$D$30^2 + 2*L33*M33*$C$35</f>
        <v>7.3867238542325381E-2</v>
      </c>
      <c r="P33" s="1">
        <f t="shared" si="1"/>
        <v>0.27178528021643367</v>
      </c>
      <c r="S33" s="1">
        <f t="shared" si="6"/>
        <v>0.2</v>
      </c>
      <c r="T33" s="1">
        <f t="shared" si="2"/>
        <v>0.8</v>
      </c>
      <c r="U33" s="1">
        <f>S33*$C$29 + T33*$D$29</f>
        <v>0.11950747000000003</v>
      </c>
      <c r="V33" s="1">
        <f>L33^2*$C$30^2 + M33^2*$D$30^2 + 2*L33*M33*($C$30*$D$30)</f>
        <v>7.9138745442854666E-2</v>
      </c>
      <c r="W33" s="1">
        <f t="shared" si="3"/>
        <v>0.28131609524315287</v>
      </c>
    </row>
    <row r="34" spans="2:23">
      <c r="B34" s="1" t="s">
        <v>23</v>
      </c>
      <c r="C34" s="1"/>
      <c r="L34" s="1">
        <f t="shared" si="4"/>
        <v>0.30000000000000004</v>
      </c>
      <c r="M34" s="1">
        <f t="shared" si="0"/>
        <v>0.7</v>
      </c>
      <c r="N34" s="1">
        <f>L34*$C$29 + M34*$D$29</f>
        <v>0.11503283000000002</v>
      </c>
      <c r="O34" s="1">
        <f>L34^2*$C$30^2 + M34^2*$D$30^2 + 2*L34*M34*$C$35</f>
        <v>7.3021383985490629E-2</v>
      </c>
      <c r="P34" s="1">
        <f t="shared" si="1"/>
        <v>0.27022469166508567</v>
      </c>
      <c r="S34" s="1">
        <f t="shared" si="6"/>
        <v>0.30000000000000004</v>
      </c>
      <c r="T34" s="1">
        <f t="shared" si="2"/>
        <v>0.7</v>
      </c>
      <c r="U34" s="1">
        <f>S34*$C$29 + T34*$D$29</f>
        <v>0.11503283000000002</v>
      </c>
      <c r="V34" s="1">
        <f>L34^2*$C$30^2 + M34^2*$D$30^2 + 2*L34*M34*($C$30*$D$30)</f>
        <v>7.994023679243531E-2</v>
      </c>
      <c r="W34" s="1">
        <f t="shared" si="3"/>
        <v>0.28273704531319432</v>
      </c>
    </row>
    <row r="35" spans="2:23">
      <c r="B35" s="1" t="s">
        <v>24</v>
      </c>
      <c r="C35" s="1">
        <f>_xlfn.COVARIANCE.S(H5:H24, I5:I24)</f>
        <v>6.5031397544513161E-2</v>
      </c>
      <c r="L35" s="1">
        <f t="shared" si="4"/>
        <v>0.4</v>
      </c>
      <c r="M35" s="1">
        <f t="shared" si="0"/>
        <v>0.6</v>
      </c>
      <c r="N35" s="1">
        <f>L35*$C$29 + M35*$D$29</f>
        <v>0.11055819000000001</v>
      </c>
      <c r="O35" s="1">
        <f>L35^2*$C$30^2 + M35^2*$D$30^2 + 2*L35*M35*$C$35</f>
        <v>7.2838505989425151E-2</v>
      </c>
      <c r="P35" s="1">
        <f t="shared" si="1"/>
        <v>0.26988609817740733</v>
      </c>
      <c r="S35" s="1">
        <f t="shared" si="6"/>
        <v>0.4</v>
      </c>
      <c r="T35" s="1">
        <f t="shared" si="2"/>
        <v>0.6</v>
      </c>
      <c r="U35" s="1">
        <f>S35*$C$29 + T35*$D$29</f>
        <v>0.11055819000000001</v>
      </c>
      <c r="V35" s="1">
        <f>L35^2*$C$30^2 + M35^2*$D$30^2 + 2*L35*M35*($C$30*$D$30)</f>
        <v>8.0745766340219072E-2</v>
      </c>
      <c r="W35" s="1">
        <f t="shared" si="3"/>
        <v>0.28415799538323583</v>
      </c>
    </row>
    <row r="36" spans="2:23">
      <c r="B36" s="1" t="s">
        <v>25</v>
      </c>
      <c r="C36" s="1">
        <f>CORREL(H5:H24, I5:I24)</f>
        <v>0.7978837120927802</v>
      </c>
      <c r="L36" s="1">
        <f t="shared" si="4"/>
        <v>0.5</v>
      </c>
      <c r="M36" s="1">
        <f t="shared" si="0"/>
        <v>0.5</v>
      </c>
      <c r="N36" s="1">
        <f>L36*$C$29 + M36*$D$29</f>
        <v>0.10608355000000001</v>
      </c>
      <c r="O36" s="1">
        <f>L36^2*$C$30^2 + M36^2*$D$30^2 + 2*L36*M36*$C$35</f>
        <v>7.3318604554128947E-2</v>
      </c>
      <c r="P36" s="1">
        <f t="shared" si="1"/>
        <v>0.27077408397800729</v>
      </c>
      <c r="S36" s="1">
        <f t="shared" si="6"/>
        <v>0.5</v>
      </c>
      <c r="T36" s="1">
        <f t="shared" si="2"/>
        <v>0.5</v>
      </c>
      <c r="U36" s="1">
        <f>S36*$C$29 + T36*$D$29</f>
        <v>0.10608355000000001</v>
      </c>
      <c r="V36" s="1">
        <f>L36^2*$C$30^2 + M36^2*$D$30^2 + 2*L36*M36*($C$30*$D$30)</f>
        <v>8.1555334086205938E-2</v>
      </c>
      <c r="W36" s="1">
        <f t="shared" si="3"/>
        <v>0.28557894545327733</v>
      </c>
    </row>
    <row r="37" spans="2:23">
      <c r="L37" s="1">
        <f t="shared" si="4"/>
        <v>0.6</v>
      </c>
      <c r="M37" s="1">
        <f t="shared" si="0"/>
        <v>0.4</v>
      </c>
      <c r="N37" s="1">
        <f>L37*$C$29 + M37*$D$29</f>
        <v>0.10160891000000001</v>
      </c>
      <c r="O37" s="1">
        <f>L37^2*$C$30^2 + M37^2*$D$30^2 + 2*L37*M37*$C$35</f>
        <v>7.4461679679601989E-2</v>
      </c>
      <c r="P37" s="1">
        <f t="shared" si="1"/>
        <v>0.27287667485441475</v>
      </c>
      <c r="S37" s="1">
        <f t="shared" si="6"/>
        <v>0.6</v>
      </c>
      <c r="T37" s="1">
        <f t="shared" si="2"/>
        <v>0.4</v>
      </c>
      <c r="U37" s="1">
        <f>S37*$C$29 + T37*$D$29</f>
        <v>0.10160891000000001</v>
      </c>
      <c r="V37" s="1">
        <f>L37^2*$C$30^2 + M37^2*$D$30^2 + 2*L37*M37*($C$30*$D$30)</f>
        <v>8.236894003039591E-2</v>
      </c>
      <c r="W37" s="1">
        <f t="shared" si="3"/>
        <v>0.28699989552331878</v>
      </c>
    </row>
    <row r="38" spans="2:23">
      <c r="L38" s="1">
        <f t="shared" si="4"/>
        <v>0.7</v>
      </c>
      <c r="M38" s="1">
        <f t="shared" si="0"/>
        <v>0.30000000000000004</v>
      </c>
      <c r="N38" s="1">
        <f>L38*$C$29 + M38*$D$29</f>
        <v>9.7134269999999995E-2</v>
      </c>
      <c r="O38" s="1">
        <f>L38^2*$C$30^2 + M38^2*$D$30^2 + 2*L38*M38*$C$35</f>
        <v>7.6267731365844305E-2</v>
      </c>
      <c r="P38" s="1">
        <f t="shared" si="1"/>
        <v>0.27616613001207135</v>
      </c>
      <c r="S38" s="1">
        <f t="shared" si="6"/>
        <v>0.7</v>
      </c>
      <c r="T38" s="1">
        <f t="shared" si="2"/>
        <v>0.30000000000000004</v>
      </c>
      <c r="U38" s="1">
        <f>S38*$C$29 + T38*$D$29</f>
        <v>9.7134269999999995E-2</v>
      </c>
      <c r="V38" s="1">
        <f>L38^2*$C$30^2 + M38^2*$D$30^2 + 2*L38*M38*($C$30*$D$30)</f>
        <v>8.3186584172788999E-2</v>
      </c>
      <c r="W38" s="1">
        <f t="shared" si="3"/>
        <v>0.28842084559336034</v>
      </c>
    </row>
    <row r="39" spans="2:23">
      <c r="L39" s="1">
        <f t="shared" si="4"/>
        <v>0.79999999999999993</v>
      </c>
      <c r="M39" s="1">
        <f t="shared" si="0"/>
        <v>0.20000000000000007</v>
      </c>
      <c r="N39" s="1">
        <f>L39*$C$29 + M39*$D$29</f>
        <v>9.2659630000000007E-2</v>
      </c>
      <c r="O39" s="1">
        <f>L39^2*$C$30^2 + M39^2*$D$30^2 + 2*L39*M39*$C$35</f>
        <v>7.8736759612855881E-2</v>
      </c>
      <c r="P39" s="1">
        <f t="shared" si="1"/>
        <v>0.28060071206762088</v>
      </c>
      <c r="S39" s="1">
        <f t="shared" si="6"/>
        <v>0.79999999999999993</v>
      </c>
      <c r="T39" s="1">
        <f t="shared" si="2"/>
        <v>0.20000000000000007</v>
      </c>
      <c r="U39" s="1">
        <f>S39*$C$29 + T39*$D$29</f>
        <v>9.2659630000000007E-2</v>
      </c>
      <c r="V39" s="1">
        <f>L39^2*$C$30^2 + M39^2*$D$30^2 + 2*L39*M39*($C$30*$D$30)</f>
        <v>8.4008266513385166E-2</v>
      </c>
      <c r="W39" s="1">
        <f t="shared" si="3"/>
        <v>0.28984179566340179</v>
      </c>
    </row>
    <row r="40" spans="2:23">
      <c r="L40" s="1">
        <f t="shared" si="4"/>
        <v>0.89999999999999991</v>
      </c>
      <c r="M40" s="1">
        <f t="shared" si="0"/>
        <v>0.10000000000000009</v>
      </c>
      <c r="N40" s="1">
        <f>L40*$C$29 + M40*$D$29</f>
        <v>8.8184989999999991E-2</v>
      </c>
      <c r="O40" s="1">
        <f>L40^2*$C$30^2 + M40^2*$D$30^2 + 2*L40*M40*$C$35</f>
        <v>8.186876442063673E-2</v>
      </c>
      <c r="P40" s="1">
        <f t="shared" si="1"/>
        <v>0.2861271822470503</v>
      </c>
      <c r="S40" s="1">
        <f t="shared" si="6"/>
        <v>0.89999999999999991</v>
      </c>
      <c r="T40" s="1">
        <f t="shared" si="2"/>
        <v>0.10000000000000009</v>
      </c>
      <c r="U40" s="1">
        <f>S40*$C$29 + T40*$D$29</f>
        <v>8.8184989999999991E-2</v>
      </c>
      <c r="V40" s="1">
        <f>L40^2*$C$30^2 + M40^2*$D$30^2 + 2*L40*M40*($C$30*$D$30)</f>
        <v>8.4833987052184451E-2</v>
      </c>
      <c r="W40" s="1">
        <f t="shared" si="3"/>
        <v>0.2912627457334433</v>
      </c>
    </row>
    <row r="41" spans="2:23">
      <c r="L41" s="1">
        <f t="shared" si="4"/>
        <v>0.99999999999999989</v>
      </c>
      <c r="M41" s="1">
        <f t="shared" si="0"/>
        <v>0</v>
      </c>
      <c r="N41" s="1">
        <f>L41*$C$29 + M41*$D$29</f>
        <v>8.3710349999999975E-2</v>
      </c>
      <c r="O41" s="1">
        <f>L41^2*$C$30^2 + M41^2*$D$30^2 + 2*L41*M41*$C$35</f>
        <v>8.5663745789186813E-2</v>
      </c>
      <c r="P41" s="1">
        <f t="shared" si="1"/>
        <v>0.2926836958034848</v>
      </c>
      <c r="S41" s="1">
        <f t="shared" si="6"/>
        <v>0.99999999999999989</v>
      </c>
      <c r="T41" s="1">
        <f t="shared" si="2"/>
        <v>0</v>
      </c>
      <c r="U41" s="1">
        <f>S41*$C$29 + T41*$D$29</f>
        <v>8.3710349999999975E-2</v>
      </c>
      <c r="V41" s="1">
        <f>L41^2*$C$30^2 + M41^2*$D$30^2 + 2*L41*M41*($C$30*$D$30)</f>
        <v>8.5663745789186813E-2</v>
      </c>
      <c r="W41" s="1">
        <f t="shared" si="3"/>
        <v>0.2926836958034848</v>
      </c>
    </row>
    <row r="42" spans="2:23">
      <c r="L42" s="1">
        <f t="shared" si="4"/>
        <v>1.0999999999999999</v>
      </c>
      <c r="M42" s="1">
        <f t="shared" si="0"/>
        <v>-9.9999999999999867E-2</v>
      </c>
      <c r="N42" s="1">
        <f>L42*$C$29 + M42*$D$29</f>
        <v>7.9235709999999987E-2</v>
      </c>
      <c r="O42" s="1">
        <f>L42^2*$C$30^2 + M42^2*$D$30^2 + 2*L42*M42*$C$35</f>
        <v>9.0121703718506183E-2</v>
      </c>
      <c r="P42" s="1">
        <f t="shared" si="1"/>
        <v>0.30020277100404352</v>
      </c>
      <c r="S42" s="1">
        <f t="shared" si="6"/>
        <v>1.0999999999999999</v>
      </c>
      <c r="T42" s="1">
        <f t="shared" si="2"/>
        <v>-9.9999999999999867E-2</v>
      </c>
      <c r="U42" s="1">
        <f>S42*$C$29 + T42*$D$29</f>
        <v>7.9235709999999987E-2</v>
      </c>
      <c r="V42" s="1">
        <f>L42^2*$C$30^2 + M42^2*$D$30^2 + 2*L42*M42*($C$30*$D$30)</f>
        <v>8.6497542724392307E-2</v>
      </c>
      <c r="W42" s="1">
        <f t="shared" si="3"/>
        <v>0.2941046458735263</v>
      </c>
    </row>
    <row r="43" spans="2:23">
      <c r="L43" s="1">
        <f t="shared" si="4"/>
        <v>1.2</v>
      </c>
      <c r="M43" s="1">
        <f t="shared" si="0"/>
        <v>-0.19999999999999996</v>
      </c>
      <c r="N43" s="1">
        <f>L43*$C$29 + M43*$D$29</f>
        <v>7.4761069999999985E-2</v>
      </c>
      <c r="O43" s="1">
        <f>L43^2*$C$30^2 + M43^2*$D$30^2 + 2*L43*M43*$C$35</f>
        <v>9.5242638208594813E-2</v>
      </c>
      <c r="P43" s="1">
        <f t="shared" si="1"/>
        <v>0.30861406028986238</v>
      </c>
      <c r="S43" s="1">
        <f t="shared" si="6"/>
        <v>1.2</v>
      </c>
      <c r="T43" s="1">
        <f t="shared" si="2"/>
        <v>-0.19999999999999996</v>
      </c>
      <c r="U43" s="1">
        <f>S43*$C$29 + T43*$D$29</f>
        <v>7.4761069999999985E-2</v>
      </c>
      <c r="V43" s="1">
        <f>L43^2*$C$30^2 + M43^2*$D$30^2 + 2*L43*M43*($C$30*$D$30)</f>
        <v>8.7335377857800878E-2</v>
      </c>
      <c r="W43" s="1">
        <f t="shared" si="3"/>
        <v>0.29552559594356775</v>
      </c>
    </row>
    <row r="44" spans="2:23">
      <c r="L44" s="1">
        <f t="shared" si="4"/>
        <v>1.3</v>
      </c>
      <c r="M44" s="1">
        <f t="shared" si="0"/>
        <v>-0.30000000000000004</v>
      </c>
      <c r="N44" s="1">
        <f>L44*$C$29 + M44*$D$29</f>
        <v>7.0286429999999969E-2</v>
      </c>
      <c r="O44" s="1">
        <f>L44^2*$C$30^2 + M44^2*$D$30^2 + 2*L44*M44*$C$35</f>
        <v>0.10102654925945273</v>
      </c>
      <c r="P44" s="1">
        <f t="shared" si="1"/>
        <v>0.3178467386327139</v>
      </c>
      <c r="S44" s="1">
        <f t="shared" si="6"/>
        <v>1.3</v>
      </c>
      <c r="T44" s="1">
        <f t="shared" si="2"/>
        <v>-0.30000000000000004</v>
      </c>
      <c r="U44" s="1">
        <f>S44*$C$29 + T44*$D$29</f>
        <v>7.0286429999999969E-2</v>
      </c>
      <c r="V44" s="1">
        <f>L44^2*$C$30^2 + M44^2*$D$30^2 + 2*L44*M44*($C$30*$D$30)</f>
        <v>8.8177251189412595E-2</v>
      </c>
      <c r="W44" s="1">
        <f t="shared" si="3"/>
        <v>0.29694654601360931</v>
      </c>
    </row>
    <row r="45" spans="2:23">
      <c r="L45" s="1">
        <f t="shared" si="4"/>
        <v>1.4000000000000001</v>
      </c>
      <c r="M45" s="1">
        <f t="shared" si="0"/>
        <v>-0.40000000000000013</v>
      </c>
      <c r="N45" s="1">
        <f>L45*$C$29 + M45*$D$29</f>
        <v>6.5811789999999967E-2</v>
      </c>
      <c r="O45" s="1">
        <f>L45^2*$C$30^2 + M45^2*$D$30^2 + 2*L45*M45*$C$35</f>
        <v>0.10747343687107988</v>
      </c>
      <c r="P45" s="1">
        <f t="shared" si="1"/>
        <v>0.32783141532055754</v>
      </c>
      <c r="S45" s="1">
        <f t="shared" si="6"/>
        <v>1.4000000000000001</v>
      </c>
      <c r="T45" s="1">
        <f t="shared" si="2"/>
        <v>-0.40000000000000013</v>
      </c>
      <c r="U45" s="1">
        <f>S45*$C$29 + T45*$D$29</f>
        <v>6.5811789999999967E-2</v>
      </c>
      <c r="V45" s="1">
        <f>L45^2*$C$30^2 + M45^2*$D$30^2 + 2*L45*M45*($C$30*$D$30)</f>
        <v>8.9023162719227389E-2</v>
      </c>
      <c r="W45" s="1">
        <f t="shared" si="3"/>
        <v>0.29836749608365082</v>
      </c>
    </row>
    <row r="46" spans="2:23">
      <c r="L46" s="1">
        <f t="shared" si="4"/>
        <v>1.5000000000000002</v>
      </c>
      <c r="M46" s="1">
        <f t="shared" si="0"/>
        <v>-0.50000000000000022</v>
      </c>
      <c r="N46" s="1">
        <f>L46*$C$29 + M46*$D$29</f>
        <v>6.1337149999999965E-2</v>
      </c>
      <c r="O46" s="1">
        <f>L46^2*$C$30^2 + M46^2*$D$30^2 + 2*L46*M46*$C$35</f>
        <v>0.1145833010434763</v>
      </c>
      <c r="P46" s="1">
        <f t="shared" si="1"/>
        <v>0.33850155249788189</v>
      </c>
      <c r="S46" s="1">
        <f t="shared" si="6"/>
        <v>1.5000000000000002</v>
      </c>
      <c r="T46" s="1">
        <f t="shared" si="2"/>
        <v>-0.50000000000000022</v>
      </c>
      <c r="U46" s="1">
        <f>S46*$C$29 + T46*$D$29</f>
        <v>6.1337149999999965E-2</v>
      </c>
      <c r="V46" s="1">
        <f>L46^2*$C$30^2 + M46^2*$D$30^2 + 2*L46*M46*($C$30*$D$30)</f>
        <v>8.9873112447245274E-2</v>
      </c>
      <c r="W46" s="1">
        <f t="shared" si="3"/>
        <v>0.29978844615369232</v>
      </c>
    </row>
    <row r="47" spans="2:23">
      <c r="L47" s="1">
        <f t="shared" si="4"/>
        <v>1.6000000000000003</v>
      </c>
      <c r="M47" s="1">
        <f t="shared" si="0"/>
        <v>-0.60000000000000031</v>
      </c>
      <c r="N47" s="1">
        <f>L47*$C$29 + M47*$D$29</f>
        <v>5.6862509999999949E-2</v>
      </c>
      <c r="O47" s="1">
        <f>L47^2*$C$30^2 + M47^2*$D$30^2 + 2*L47*M47*$C$35</f>
        <v>0.12235614177664199</v>
      </c>
      <c r="P47" s="1">
        <f t="shared" si="1"/>
        <v>0.34979442788106557</v>
      </c>
      <c r="S47" s="1">
        <f t="shared" si="6"/>
        <v>1.6000000000000003</v>
      </c>
      <c r="T47" s="1">
        <f t="shared" si="2"/>
        <v>-0.60000000000000031</v>
      </c>
      <c r="U47" s="1">
        <f>S47*$C$29 + T47*$D$29</f>
        <v>5.6862509999999949E-2</v>
      </c>
      <c r="V47" s="1">
        <f>L47^2*$C$30^2 + M47^2*$D$30^2 + 2*L47*M47*($C$30*$D$30)</f>
        <v>9.0727100373466263E-2</v>
      </c>
      <c r="W47" s="1">
        <f t="shared" si="3"/>
        <v>0.30120939622373383</v>
      </c>
    </row>
    <row r="48" spans="2:23">
      <c r="L48" s="1">
        <f t="shared" si="4"/>
        <v>1.7000000000000004</v>
      </c>
      <c r="M48" s="1">
        <f t="shared" si="0"/>
        <v>-0.7000000000000004</v>
      </c>
      <c r="N48" s="1">
        <f>L48*$C$29 + M48*$D$29</f>
        <v>5.2387869999999934E-2</v>
      </c>
      <c r="O48" s="1">
        <f>L48^2*$C$30^2 + M48^2*$D$30^2 + 2*L48*M48*$C$35</f>
        <v>0.13079195907057689</v>
      </c>
      <c r="P48" s="1">
        <f t="shared" si="1"/>
        <v>0.36165170961931992</v>
      </c>
      <c r="S48" s="1">
        <f t="shared" si="6"/>
        <v>1.7000000000000004</v>
      </c>
      <c r="T48" s="1">
        <f t="shared" si="2"/>
        <v>-0.7000000000000004</v>
      </c>
      <c r="U48" s="1">
        <f>S48*$C$29 + T48*$D$29</f>
        <v>5.2387869999999934E-2</v>
      </c>
      <c r="V48" s="1">
        <f>L48^2*$C$30^2 + M48^2*$D$30^2 + 2*L48*M48*($C$30*$D$30)</f>
        <v>9.1585126497890301E-2</v>
      </c>
      <c r="W48" s="1">
        <f t="shared" si="3"/>
        <v>0.30263034629377522</v>
      </c>
    </row>
    <row r="49" spans="12:23">
      <c r="L49" s="1">
        <f t="shared" si="4"/>
        <v>1.8000000000000005</v>
      </c>
      <c r="M49" s="1">
        <f t="shared" si="0"/>
        <v>-0.80000000000000049</v>
      </c>
      <c r="N49" s="1">
        <f>L49*$C$29 + M49*$D$29</f>
        <v>4.7913229999999918E-2</v>
      </c>
      <c r="O49" s="1">
        <f>L49^2*$C$30^2 + M49^2*$D$30^2 + 2*L49*M49*$C$35</f>
        <v>0.13989075292528114</v>
      </c>
      <c r="P49" s="1">
        <f t="shared" si="1"/>
        <v>0.37401972264211031</v>
      </c>
      <c r="S49" s="1">
        <f t="shared" si="6"/>
        <v>1.8000000000000005</v>
      </c>
      <c r="T49" s="1">
        <f t="shared" si="2"/>
        <v>-0.80000000000000049</v>
      </c>
      <c r="U49" s="1">
        <f>S49*$C$29 + T49*$D$29</f>
        <v>4.7913229999999918E-2</v>
      </c>
      <c r="V49" s="1">
        <f>L49^2*$C$30^2 + M49^2*$D$30^2 + 2*L49*M49*($C$30*$D$30)</f>
        <v>9.2447190820517555E-2</v>
      </c>
      <c r="W49" s="1">
        <f t="shared" si="3"/>
        <v>0.30405129636381678</v>
      </c>
    </row>
    <row r="50" spans="12:23">
      <c r="L50" s="1">
        <f t="shared" si="4"/>
        <v>1.9000000000000006</v>
      </c>
      <c r="M50" s="1">
        <f t="shared" si="0"/>
        <v>-0.90000000000000058</v>
      </c>
      <c r="N50" s="1">
        <f>L50*$C$29 + M50*$D$29</f>
        <v>4.343858999999993E-2</v>
      </c>
      <c r="O50" s="1">
        <f>L50^2*$C$30^2 + M50^2*$D$30^2 + 2*L50*M50*$C$35</f>
        <v>0.14965252334075463</v>
      </c>
      <c r="P50" s="1">
        <f t="shared" si="1"/>
        <v>0.38684948409007169</v>
      </c>
      <c r="S50" s="1">
        <f t="shared" si="6"/>
        <v>1.9000000000000006</v>
      </c>
      <c r="T50" s="1">
        <f t="shared" si="2"/>
        <v>-0.90000000000000058</v>
      </c>
      <c r="U50" s="1">
        <f>S50*$C$29 + T50*$D$29</f>
        <v>4.343858999999993E-2</v>
      </c>
      <c r="V50" s="1">
        <f>L50^2*$C$30^2 + M50^2*$D$30^2 + 2*L50*M50*($C$30*$D$30)</f>
        <v>9.3313293341347858E-2</v>
      </c>
      <c r="W50" s="1">
        <f t="shared" si="3"/>
        <v>0.30547224643385829</v>
      </c>
    </row>
    <row r="51" spans="12:23">
      <c r="L51" s="1">
        <f t="shared" si="4"/>
        <v>2.0000000000000004</v>
      </c>
      <c r="M51" s="1">
        <f t="shared" si="0"/>
        <v>-1.0000000000000004</v>
      </c>
      <c r="N51" s="1">
        <f>L51*$C$29 + M51*$D$29</f>
        <v>3.8963949999999914E-2</v>
      </c>
      <c r="O51" s="1">
        <f>L51^2*$C$30^2 + M51^2*$D$30^2 + 2*L51*M51*$C$35</f>
        <v>0.16007727031699737</v>
      </c>
      <c r="P51" s="1">
        <f t="shared" si="1"/>
        <v>0.40009657623753464</v>
      </c>
      <c r="S51" s="1">
        <f t="shared" si="6"/>
        <v>2.0000000000000004</v>
      </c>
      <c r="T51" s="1">
        <f t="shared" si="2"/>
        <v>-1.0000000000000004</v>
      </c>
      <c r="U51" s="1">
        <f>S51*$C$29 + T51*$D$29</f>
        <v>3.8963949999999914E-2</v>
      </c>
      <c r="V51" s="1">
        <f>L51^2*$C$30^2 + M51^2*$D$30^2 + 2*L51*M51*($C$30*$D$30)</f>
        <v>9.4183434060381266E-2</v>
      </c>
      <c r="W51" s="1">
        <f t="shared" si="3"/>
        <v>0.30689319650389979</v>
      </c>
    </row>
    <row r="54" spans="12:23">
      <c r="S54" s="1" t="s">
        <v>26</v>
      </c>
      <c r="T54" s="1" t="s">
        <v>11</v>
      </c>
      <c r="U54" s="1" t="s">
        <v>12</v>
      </c>
      <c r="V54" s="1" t="s">
        <v>13</v>
      </c>
      <c r="W54" s="1" t="s">
        <v>14</v>
      </c>
    </row>
    <row r="55" spans="12:23">
      <c r="S55" s="1">
        <v>-2</v>
      </c>
      <c r="T55" s="1">
        <f>1-S55</f>
        <v>3</v>
      </c>
      <c r="U55" s="1">
        <f>S55*$C$29 + T55*$D$29</f>
        <v>0.21794955000000016</v>
      </c>
      <c r="V55" s="1">
        <f>L11^2*$C$30^2 + M11^2*$D$30^2 + 2*L11*M11*(-$C$30*$D$30)</f>
        <v>2.0186441585054768</v>
      </c>
      <c r="W55" s="1">
        <f>SQRT(V55)</f>
        <v>1.4207899769161791</v>
      </c>
    </row>
    <row r="56" spans="12:23">
      <c r="S56" s="1">
        <f>S55+0.1</f>
        <v>-1.9</v>
      </c>
      <c r="T56" s="1">
        <f t="shared" ref="T56:T95" si="7">1-S56</f>
        <v>2.9</v>
      </c>
      <c r="U56" s="1">
        <f>S56*$C$29 + T56*$D$29</f>
        <v>0.2134749100000001</v>
      </c>
      <c r="V56" s="1">
        <f>L12^2*$C$30^2 + M12^2*$D$30^2 + 2*L12*M12*(-$C$30*$D$30)</f>
        <v>1.8596072905416017</v>
      </c>
      <c r="W56" s="1">
        <f t="shared" ref="W56:W59" si="8">SQRT(V56)</f>
        <v>1.3636741878255236</v>
      </c>
    </row>
    <row r="57" spans="12:23">
      <c r="S57" s="1">
        <f>S56+0.1</f>
        <v>-1.7999999999999998</v>
      </c>
      <c r="T57" s="1">
        <f t="shared" si="7"/>
        <v>2.8</v>
      </c>
      <c r="U57" s="1">
        <f>S57*$C$29 + T57*$D$29</f>
        <v>0.20900027000000013</v>
      </c>
      <c r="V57" s="1">
        <f>L13^2*$C$30^2 + M13^2*$D$30^2 + 2*L13*M13*(-$C$30*$D$30)</f>
        <v>1.7070948493046227</v>
      </c>
      <c r="W57" s="1">
        <f t="shared" si="8"/>
        <v>1.3065583987348681</v>
      </c>
    </row>
    <row r="58" spans="12:23">
      <c r="S58" s="1">
        <f>S57+0.1</f>
        <v>-1.6999999999999997</v>
      </c>
      <c r="T58" s="1">
        <f t="shared" si="7"/>
        <v>2.6999999999999997</v>
      </c>
      <c r="U58" s="1">
        <f>S58*$C$29 + T58*$D$29</f>
        <v>0.20452563000000012</v>
      </c>
      <c r="V58" s="1">
        <f>L14^2*$C$30^2 + M14^2*$D$30^2 + 2*L14*M14*(-$C$30*$D$30)</f>
        <v>1.5611068347945403</v>
      </c>
      <c r="W58" s="1">
        <f t="shared" si="8"/>
        <v>1.2494426096442126</v>
      </c>
    </row>
    <row r="59" spans="12:23">
      <c r="S59" s="1">
        <f>S58+0.1</f>
        <v>-1.5999999999999996</v>
      </c>
      <c r="T59" s="1">
        <f t="shared" si="7"/>
        <v>2.5999999999999996</v>
      </c>
      <c r="U59" s="1">
        <f>S59*$C$29 + T59*$D$29</f>
        <v>0.20005099000000007</v>
      </c>
      <c r="V59" s="1">
        <f>L15^2*$C$30^2 + M15^2*$D$30^2 + 2*L15*M15*(-$C$30*$D$30)</f>
        <v>1.4216432470113545</v>
      </c>
      <c r="W59" s="1">
        <f t="shared" si="8"/>
        <v>1.1923268205535571</v>
      </c>
    </row>
    <row r="60" spans="12:23">
      <c r="S60" s="1">
        <f>S59+0.1</f>
        <v>-1.4999999999999996</v>
      </c>
      <c r="T60" s="1">
        <f t="shared" si="7"/>
        <v>2.4999999999999996</v>
      </c>
      <c r="U60" s="1">
        <f>S60*$C$29 + T60*$D$29</f>
        <v>0.19557635000000007</v>
      </c>
      <c r="V60" s="1">
        <f>L16^2*$C$30^2 + M16^2*$D$30^2 + 2*L16*M16*(-$C$30*$D$30)</f>
        <v>1.2887040859550649</v>
      </c>
      <c r="W60" s="1">
        <f t="shared" ref="W57:W95" si="9">SQRT(V60)</f>
        <v>1.1352110314629016</v>
      </c>
    </row>
    <row r="61" spans="12:23">
      <c r="S61" s="1">
        <f>S60+0.1</f>
        <v>-1.3999999999999995</v>
      </c>
      <c r="T61" s="1">
        <f t="shared" si="7"/>
        <v>2.3999999999999995</v>
      </c>
      <c r="U61" s="1">
        <f>S61*$C$29 + T61*$D$29</f>
        <v>0.19110171000000009</v>
      </c>
      <c r="V61" s="1">
        <f>L17^2*$C$30^2 + M17^2*$D$30^2 + 2*L17*M17*(-$C$30*$D$30)</f>
        <v>1.162289351625672</v>
      </c>
      <c r="W61" s="1">
        <f t="shared" si="9"/>
        <v>1.0780952423722461</v>
      </c>
    </row>
    <row r="62" spans="12:23">
      <c r="S62" s="1">
        <f t="shared" ref="S62:S95" si="10">S61+0.1</f>
        <v>-1.2999999999999994</v>
      </c>
      <c r="T62" s="1">
        <f t="shared" si="7"/>
        <v>2.2999999999999994</v>
      </c>
      <c r="U62" s="1">
        <f>S62*$C$29 + T62*$D$29</f>
        <v>0.18662707000000009</v>
      </c>
      <c r="V62" s="1">
        <f>L18^2*$C$30^2 + M18^2*$D$30^2 + 2*L18*M18*(-$C$30*$D$30)</f>
        <v>1.0423990440231756</v>
      </c>
      <c r="W62" s="1">
        <f t="shared" si="9"/>
        <v>1.0209794532815906</v>
      </c>
    </row>
    <row r="63" spans="12:23">
      <c r="S63" s="1">
        <f t="shared" si="10"/>
        <v>-1.1999999999999993</v>
      </c>
      <c r="T63" s="1">
        <f t="shared" si="7"/>
        <v>2.1999999999999993</v>
      </c>
      <c r="U63" s="1">
        <f>S63*$C$29 + T63*$D$29</f>
        <v>0.18215243000000003</v>
      </c>
      <c r="V63" s="1">
        <f>L19^2*$C$30^2 + M19^2*$D$30^2 + 2*L19*M19*(-$C$30*$D$30)</f>
        <v>0.92903316314757567</v>
      </c>
      <c r="W63" s="1">
        <f t="shared" si="9"/>
        <v>0.96386366419093505</v>
      </c>
    </row>
    <row r="64" spans="12:23">
      <c r="S64" s="1">
        <f t="shared" si="10"/>
        <v>-1.0999999999999992</v>
      </c>
      <c r="T64" s="1">
        <f t="shared" si="7"/>
        <v>2.0999999999999992</v>
      </c>
      <c r="U64" s="1">
        <f>S64*$C$29 + T64*$D$29</f>
        <v>0.17767779000000006</v>
      </c>
      <c r="V64" s="1">
        <f>L20^2*$C$30^2 + M20^2*$D$30^2 + 2*L20*M20*(-$C$30*$D$30)</f>
        <v>0.82219170899887217</v>
      </c>
      <c r="W64" s="1">
        <f t="shared" si="9"/>
        <v>0.90674787510027954</v>
      </c>
    </row>
    <row r="65" spans="12:23">
      <c r="S65" s="1">
        <f t="shared" si="10"/>
        <v>-0.99999999999999922</v>
      </c>
      <c r="T65" s="1">
        <f t="shared" si="7"/>
        <v>1.9999999999999991</v>
      </c>
      <c r="U65" s="1">
        <f>S65*$C$29 + T65*$D$29</f>
        <v>0.17320315000000003</v>
      </c>
      <c r="V65" s="1">
        <f>L21^2*$C$30^2 + M21^2*$D$30^2 + 2*L21*M21*(-$C$30*$D$30)</f>
        <v>0.72187468157706514</v>
      </c>
      <c r="W65" s="1">
        <f t="shared" si="9"/>
        <v>0.84963208600962403</v>
      </c>
    </row>
    <row r="66" spans="12:23">
      <c r="S66" s="1">
        <f t="shared" si="10"/>
        <v>-0.89999999999999925</v>
      </c>
      <c r="T66" s="1">
        <f t="shared" si="7"/>
        <v>1.8999999999999992</v>
      </c>
      <c r="U66" s="1">
        <f>S66*$C$29 + T66*$D$29</f>
        <v>0.16872851000000005</v>
      </c>
      <c r="V66" s="1">
        <f>L22^2*$C$30^2 + M22^2*$D$30^2 + 2*L22*M22*(-$C$30*$D$30)</f>
        <v>0.62808208088215478</v>
      </c>
      <c r="W66" s="1">
        <f t="shared" si="9"/>
        <v>0.79251629691896863</v>
      </c>
    </row>
    <row r="67" spans="12:23">
      <c r="S67" s="1">
        <f t="shared" si="10"/>
        <v>-0.79999999999999927</v>
      </c>
      <c r="T67" s="1">
        <f t="shared" si="7"/>
        <v>1.7999999999999994</v>
      </c>
      <c r="U67" s="1">
        <f>S67*$C$29 + T67*$D$29</f>
        <v>0.16425387000000005</v>
      </c>
      <c r="V67" s="1">
        <f>L23^2*$C$30^2 + M23^2*$D$30^2 + 2*L23*M23*(-$C$30*$D$30)</f>
        <v>0.54081390691414089</v>
      </c>
      <c r="W67" s="1">
        <f t="shared" si="9"/>
        <v>0.73540050782831312</v>
      </c>
    </row>
    <row r="68" spans="12:23">
      <c r="S68" s="1">
        <f t="shared" si="10"/>
        <v>-0.69999999999999929</v>
      </c>
      <c r="T68" s="1">
        <f t="shared" si="7"/>
        <v>1.6999999999999993</v>
      </c>
      <c r="U68" s="1">
        <f>S68*$C$29 + T68*$D$29</f>
        <v>0.15977923000000002</v>
      </c>
      <c r="V68" s="1">
        <f>L24^2*$C$30^2 + M24^2*$D$30^2 + 2*L24*M24*(-$C$30*$D$30)</f>
        <v>0.46007015967302345</v>
      </c>
      <c r="W68" s="1">
        <f t="shared" si="9"/>
        <v>0.67828471873765772</v>
      </c>
    </row>
    <row r="69" spans="12:23">
      <c r="L69" s="1" t="s">
        <v>27</v>
      </c>
      <c r="M69" s="1" t="s">
        <v>28</v>
      </c>
      <c r="N69" s="1" t="s">
        <v>11</v>
      </c>
      <c r="O69" s="1" t="s">
        <v>12</v>
      </c>
      <c r="P69" s="1" t="s">
        <v>14</v>
      </c>
      <c r="S69" s="1">
        <f t="shared" si="10"/>
        <v>-0.59999999999999931</v>
      </c>
      <c r="T69" s="1">
        <f t="shared" si="7"/>
        <v>1.5999999999999992</v>
      </c>
      <c r="U69" s="1">
        <f>S69*$C$29 + T69*$D$29</f>
        <v>0.15530459000000002</v>
      </c>
      <c r="V69" s="1">
        <f>L25^2*$C$30^2 + M25^2*$D$30^2 + 2*L25*M25*(-$C$30*$D$30)</f>
        <v>0.38585083915880236</v>
      </c>
      <c r="W69" s="1">
        <f t="shared" si="9"/>
        <v>0.62116892964700221</v>
      </c>
    </row>
    <row r="70" spans="12:23">
      <c r="L70" s="1"/>
      <c r="M70" s="1">
        <f>INDEX(L11:L51, MATCH(MIN(P11:P51), P11:P51, 0))</f>
        <v>0.4</v>
      </c>
      <c r="N70" s="1">
        <f>INDEX(M11:M51, MATCH(MIN(P11:P51), P11:P51, 0))</f>
        <v>0.6</v>
      </c>
      <c r="O70" s="1">
        <f>INDEX(N11:N51, MATCH(MIN(P11:P51), P11:P51, 0))</f>
        <v>0.11055819000000001</v>
      </c>
      <c r="P70" s="1">
        <f>MIN(P11:P51)</f>
        <v>0.26988609817740733</v>
      </c>
      <c r="S70" s="1">
        <f t="shared" si="10"/>
        <v>-0.49999999999999933</v>
      </c>
      <c r="T70" s="1">
        <f t="shared" si="7"/>
        <v>1.4999999999999993</v>
      </c>
      <c r="U70" s="1">
        <f>S70*$C$29 + T70*$D$29</f>
        <v>0.15082995000000002</v>
      </c>
      <c r="V70" s="1">
        <f>L26^2*$C$30^2 + M26^2*$D$30^2 + 2*L26*M26*(-$C$30*$D$30)</f>
        <v>0.31815594537147796</v>
      </c>
      <c r="W70" s="1">
        <f t="shared" si="9"/>
        <v>0.56405314055634681</v>
      </c>
    </row>
    <row r="71" spans="12:23">
      <c r="S71" s="1">
        <f t="shared" si="10"/>
        <v>-0.39999999999999936</v>
      </c>
      <c r="T71" s="1">
        <f t="shared" si="7"/>
        <v>1.3999999999999995</v>
      </c>
      <c r="U71" s="1">
        <f>S71*$C$29 + T71*$D$29</f>
        <v>0.14635531000000004</v>
      </c>
      <c r="V71" s="1">
        <f>L27^2*$C$30^2 + M27^2*$D$30^2 + 2*L27*M27*(-$C$30*$D$30)</f>
        <v>0.2569854783110499</v>
      </c>
      <c r="W71" s="1">
        <f t="shared" si="9"/>
        <v>0.50693735146569141</v>
      </c>
    </row>
    <row r="72" spans="12:23">
      <c r="L72" s="1" t="s">
        <v>29</v>
      </c>
      <c r="M72" s="1" t="s">
        <v>11</v>
      </c>
      <c r="N72" s="1" t="s">
        <v>12</v>
      </c>
      <c r="O72" s="1" t="s">
        <v>13</v>
      </c>
      <c r="P72" s="2" t="s">
        <v>14</v>
      </c>
      <c r="Q72" s="1" t="s">
        <v>30</v>
      </c>
      <c r="S72" s="1">
        <f t="shared" si="10"/>
        <v>-0.29999999999999938</v>
      </c>
      <c r="T72" s="1">
        <f t="shared" si="7"/>
        <v>1.2999999999999994</v>
      </c>
      <c r="U72" s="1">
        <f>S72*$C$29 + T72*$D$29</f>
        <v>0.14188067000000001</v>
      </c>
      <c r="V72" s="1">
        <f>L28^2*$C$30^2 + M28^2*$D$30^2 + 2*L28*M28*(-$C$30*$D$30)</f>
        <v>0.20233943797751835</v>
      </c>
      <c r="W72" s="1">
        <f t="shared" si="9"/>
        <v>0.44982156237503595</v>
      </c>
    </row>
    <row r="73" spans="12:23">
      <c r="L73" s="1">
        <v>-2</v>
      </c>
      <c r="M73" s="1">
        <f>1-L73</f>
        <v>3</v>
      </c>
      <c r="N73" s="1">
        <f>L73*$C$29 + M73*$D$29</f>
        <v>0.21794955000000016</v>
      </c>
      <c r="O73" s="1">
        <f>L73^2*$C$30^2 + M73^2*$D$30^2 + 2*L73*M73*$C$35</f>
        <v>0.26020910866731284</v>
      </c>
      <c r="P73" s="2">
        <f>SQRT(O73)</f>
        <v>0.51010695806596562</v>
      </c>
      <c r="Q73" s="3">
        <f>(N73-$J$5)/P73</f>
        <v>0.39516134177870416</v>
      </c>
      <c r="S73" s="1">
        <f t="shared" si="10"/>
        <v>-0.19999999999999937</v>
      </c>
      <c r="T73" s="1">
        <f t="shared" si="7"/>
        <v>1.1999999999999993</v>
      </c>
      <c r="U73" s="1">
        <f>S73*$C$29 + T73*$D$29</f>
        <v>0.13740603000000001</v>
      </c>
      <c r="V73" s="1">
        <f>L29^2*$C$30^2 + M29^2*$D$30^2 + 2*L29*M29*(-$C$30*$D$30)</f>
        <v>0.15421782437088319</v>
      </c>
      <c r="W73" s="1">
        <f t="shared" si="9"/>
        <v>0.39270577328438039</v>
      </c>
    </row>
    <row r="74" spans="12:23">
      <c r="L74" s="1">
        <f>L73+0.1</f>
        <v>-1.9</v>
      </c>
      <c r="M74" s="1">
        <f t="shared" ref="M74:M113" si="11">1-L74</f>
        <v>2.9</v>
      </c>
      <c r="N74" s="1">
        <f>L74*$C$29 + M74*$D$29</f>
        <v>0.2134749100000001</v>
      </c>
      <c r="O74" s="1">
        <f>L74^2*$C$30^2 + M74^2*$D$30^2 + 2*L74*M74*$C$35</f>
        <v>0.24477776977355448</v>
      </c>
      <c r="P74" s="2">
        <f t="shared" ref="P74:P113" si="12">SQRT(O74)</f>
        <v>0.49475020947297688</v>
      </c>
      <c r="Q74" s="3">
        <f>(N74-$J$5)/P74</f>
        <v>0.39838267114622744</v>
      </c>
      <c r="S74" s="1">
        <f t="shared" si="10"/>
        <v>-9.9999999999999367E-2</v>
      </c>
      <c r="T74" s="1">
        <f t="shared" si="7"/>
        <v>1.0999999999999994</v>
      </c>
      <c r="U74" s="1">
        <f>S74*$C$29 + T74*$D$29</f>
        <v>0.13293139000000001</v>
      </c>
      <c r="V74" s="1">
        <f>L30^2*$C$30^2 + M30^2*$D$30^2 + 2*L30*M30*(-$C$30*$D$30)</f>
        <v>0.11262063749114458</v>
      </c>
      <c r="W74" s="1">
        <f t="shared" si="9"/>
        <v>0.33558998419372499</v>
      </c>
    </row>
    <row r="75" spans="12:23">
      <c r="L75" s="1">
        <f>L74+0.1</f>
        <v>-1.7999999999999998</v>
      </c>
      <c r="M75" s="1">
        <f t="shared" si="11"/>
        <v>2.8</v>
      </c>
      <c r="N75" s="1">
        <f>L75*$C$29 + M75*$D$29</f>
        <v>0.20900027000000013</v>
      </c>
      <c r="O75" s="1">
        <f>L75^2*$C$30^2 + M75^2*$D$30^2 + 2*L75*M75*$C$35</f>
        <v>0.23000940744056508</v>
      </c>
      <c r="P75" s="2">
        <f t="shared" si="12"/>
        <v>0.47959296016576919</v>
      </c>
      <c r="Q75" s="3">
        <f>(N75-$J$5)/P75</f>
        <v>0.40164323916143402</v>
      </c>
      <c r="S75" s="1">
        <f>0</f>
        <v>0</v>
      </c>
      <c r="T75" s="1">
        <f t="shared" si="7"/>
        <v>1</v>
      </c>
      <c r="U75" s="1">
        <f>S75*$C$29 + T75*$D$29</f>
        <v>0.12845675000000004</v>
      </c>
      <c r="V75" s="1">
        <f>L31^2*$C$30^2 + M31^2*$D$30^2 + 2*L31*M31*(-$C$30*$D$30)</f>
        <v>7.7547877338302623E-2</v>
      </c>
      <c r="W75" s="1">
        <f t="shared" si="9"/>
        <v>0.27847419510306987</v>
      </c>
    </row>
    <row r="76" spans="12:23">
      <c r="L76" s="1">
        <f>L75+0.1</f>
        <v>-1.6999999999999997</v>
      </c>
      <c r="M76" s="1">
        <f t="shared" si="11"/>
        <v>2.6999999999999997</v>
      </c>
      <c r="N76" s="1">
        <f>L76*$C$29 + M76*$D$29</f>
        <v>0.20452563000000012</v>
      </c>
      <c r="O76" s="1">
        <f>L76^2*$C$30^2 + M76^2*$D$30^2 + 2*L76*M76*$C$35</f>
        <v>0.2159040216683451</v>
      </c>
      <c r="P76" s="2">
        <f t="shared" si="12"/>
        <v>0.4646547338275433</v>
      </c>
      <c r="Q76" s="3">
        <f>(N76-$J$5)/P76</f>
        <v>0.40492567126160445</v>
      </c>
      <c r="S76" s="1">
        <f t="shared" ref="S76:S95" si="13">S75+0.1</f>
        <v>0.1</v>
      </c>
      <c r="T76" s="1">
        <f>1-S76</f>
        <v>0.9</v>
      </c>
      <c r="U76" s="1">
        <f>S76*$C$29 + T76*$D$29</f>
        <v>0.12398211000000003</v>
      </c>
      <c r="V76" s="1">
        <f>L32^2*$C$30^2 + M32^2*$D$30^2 + 2*L32*M32*(-$C$30*$D$30)</f>
        <v>4.8999543912356905E-2</v>
      </c>
      <c r="W76" s="1">
        <f t="shared" si="9"/>
        <v>0.22135840601241441</v>
      </c>
    </row>
    <row r="77" spans="12:23">
      <c r="L77" s="1">
        <f>L76+0.1</f>
        <v>-1.5999999999999996</v>
      </c>
      <c r="M77" s="1">
        <f t="shared" si="11"/>
        <v>2.5999999999999996</v>
      </c>
      <c r="N77" s="1">
        <f>L77*$C$29 + M77*$D$29</f>
        <v>0.20005099000000007</v>
      </c>
      <c r="O77" s="1">
        <f>L77^2*$C$30^2 + M77^2*$D$30^2 + 2*L77*M77*$C$35</f>
        <v>0.20246161245689454</v>
      </c>
      <c r="P77" s="2">
        <f t="shared" si="12"/>
        <v>0.44995734515273172</v>
      </c>
      <c r="Q77" s="3">
        <f t="shared" ref="Q74:Q113" si="14">(N77-$J$5)/P77</f>
        <v>0.40820756006917458</v>
      </c>
      <c r="S77" s="1">
        <f t="shared" si="13"/>
        <v>0.2</v>
      </c>
      <c r="T77" s="1">
        <f t="shared" si="7"/>
        <v>0.8</v>
      </c>
      <c r="U77" s="1">
        <f>S77*$C$29 + T77*$D$29</f>
        <v>0.11950747000000003</v>
      </c>
      <c r="V77" s="1">
        <f>L33^2*$C$30^2 + M33^2*$D$30^2 + 2*L33*M33*(-$C$30*$D$30)</f>
        <v>2.6975637213307663E-2</v>
      </c>
      <c r="W77" s="1">
        <f t="shared" si="9"/>
        <v>0.16424261692175895</v>
      </c>
    </row>
    <row r="78" spans="12:23">
      <c r="L78" s="1">
        <f>L77+0.1</f>
        <v>-1.4999999999999996</v>
      </c>
      <c r="M78" s="1">
        <f t="shared" si="11"/>
        <v>2.4999999999999996</v>
      </c>
      <c r="N78" s="1">
        <f>L78*$C$29 + M78*$D$29</f>
        <v>0.19557635000000007</v>
      </c>
      <c r="O78" s="1">
        <f>L78^2*$C$30^2 + M78^2*$D$30^2 + 2*L78*M78*$C$35</f>
        <v>0.18968217980621305</v>
      </c>
      <c r="P78" s="2">
        <f t="shared" si="12"/>
        <v>0.43552517700612103</v>
      </c>
      <c r="Q78" s="3">
        <f t="shared" si="14"/>
        <v>0.41146036890877952</v>
      </c>
      <c r="S78" s="1">
        <f t="shared" si="13"/>
        <v>0.30000000000000004</v>
      </c>
      <c r="T78" s="1">
        <f t="shared" si="7"/>
        <v>0.7</v>
      </c>
      <c r="U78" s="1">
        <f>S78*$C$29 + T78*$D$29</f>
        <v>0.11503283000000002</v>
      </c>
      <c r="V78" s="1">
        <f>L34^2*$C$30^2 + M34^2*$D$30^2 + 2*L34*M34*(-$C$30*$D$30)</f>
        <v>1.1476157241154875E-2</v>
      </c>
      <c r="W78" s="1">
        <f t="shared" si="9"/>
        <v>0.10712682783110342</v>
      </c>
    </row>
    <row r="79" spans="12:23">
      <c r="L79" s="1">
        <f>L78+0.1</f>
        <v>-1.3999999999999995</v>
      </c>
      <c r="M79" s="1">
        <f t="shared" si="11"/>
        <v>2.3999999999999995</v>
      </c>
      <c r="N79" s="1">
        <f>L79*$C$29 + M79*$D$29</f>
        <v>0.19110171000000009</v>
      </c>
      <c r="O79" s="1">
        <f>L79^2*$C$30^2 + M79^2*$D$30^2 + 2*L79*M79*$C$35</f>
        <v>0.17756572371630069</v>
      </c>
      <c r="P79" s="2">
        <f t="shared" si="12"/>
        <v>0.42138548114084412</v>
      </c>
      <c r="Q79" s="3">
        <f t="shared" si="14"/>
        <v>0.41464814954457185</v>
      </c>
      <c r="S79" s="1">
        <f t="shared" si="13"/>
        <v>0.4</v>
      </c>
      <c r="T79" s="1">
        <f t="shared" si="7"/>
        <v>0.6</v>
      </c>
      <c r="U79" s="1">
        <f>S79*$C$29 + T79*$D$29</f>
        <v>0.11055819000000001</v>
      </c>
      <c r="V79" s="1">
        <f>L35^2*$C$30^2 + M35^2*$D$30^2 + 2*L35*M35*(-$C$30*$D$30)</f>
        <v>2.5011039958985973E-3</v>
      </c>
      <c r="W79" s="1">
        <f t="shared" si="9"/>
        <v>5.0011038740448065E-2</v>
      </c>
    </row>
    <row r="80" spans="12:23">
      <c r="L80" s="1">
        <f t="shared" ref="L80:L113" si="15">L79+0.1</f>
        <v>-1.2999999999999994</v>
      </c>
      <c r="M80" s="1">
        <f t="shared" si="11"/>
        <v>2.2999999999999994</v>
      </c>
      <c r="N80" s="1">
        <f>L80*$C$29 + M80*$D$29</f>
        <v>0.18662707000000009</v>
      </c>
      <c r="O80" s="1">
        <f>L80^2*$C$30^2 + M80^2*$D$30^2 + 2*L80*M80*$C$35</f>
        <v>0.16611224418715786</v>
      </c>
      <c r="P80" s="2">
        <f t="shared" si="12"/>
        <v>0.40756869873330298</v>
      </c>
      <c r="Q80" s="3">
        <f t="shared" si="14"/>
        <v>0.41772606809387586</v>
      </c>
      <c r="S80" s="1">
        <f t="shared" si="13"/>
        <v>0.5</v>
      </c>
      <c r="T80" s="1">
        <f t="shared" si="7"/>
        <v>0.5</v>
      </c>
      <c r="U80" s="1">
        <f>S80*$C$29 + T80*$D$29</f>
        <v>0.10608355000000001</v>
      </c>
      <c r="V80" s="1">
        <f>L36^2*$C$30^2 + M36^2*$D$30^2 + 2*L36*M36*(-$C$30*$D$30)</f>
        <v>5.0477477538772575E-5</v>
      </c>
      <c r="W80" s="1">
        <f t="shared" si="9"/>
        <v>7.1047503502074281E-3</v>
      </c>
    </row>
    <row r="81" spans="12:23">
      <c r="L81" s="1">
        <f t="shared" si="15"/>
        <v>-1.1999999999999993</v>
      </c>
      <c r="M81" s="1">
        <f t="shared" si="11"/>
        <v>2.1999999999999993</v>
      </c>
      <c r="N81" s="1">
        <f>L81*$C$29 + M81*$D$29</f>
        <v>0.18215243000000003</v>
      </c>
      <c r="O81" s="1">
        <f>L81^2*$C$30^2 + M81^2*$D$30^2 + 2*L81*M81*$C$35</f>
        <v>0.15532174121878417</v>
      </c>
      <c r="P81" s="2">
        <f t="shared" si="12"/>
        <v>0.39410879363290557</v>
      </c>
      <c r="Q81" s="3">
        <f t="shared" si="14"/>
        <v>0.42063874919374211</v>
      </c>
      <c r="S81" s="1">
        <f t="shared" si="13"/>
        <v>0.6</v>
      </c>
      <c r="T81" s="1">
        <f t="shared" si="7"/>
        <v>0.4</v>
      </c>
      <c r="U81" s="1">
        <f>S81*$C$29 + T81*$D$29</f>
        <v>0.10160891000000001</v>
      </c>
      <c r="V81" s="1">
        <f>L37^2*$C$30^2 + M37^2*$D$30^2 + 2*L37*M37*(-$C$30*$D$30)</f>
        <v>4.1242776860754352E-3</v>
      </c>
      <c r="W81" s="1">
        <f t="shared" si="9"/>
        <v>6.4220539440862964E-2</v>
      </c>
    </row>
    <row r="82" spans="12:23">
      <c r="L82" s="1">
        <f t="shared" si="15"/>
        <v>-1.0999999999999992</v>
      </c>
      <c r="M82" s="1">
        <f t="shared" si="11"/>
        <v>2.0999999999999992</v>
      </c>
      <c r="N82" s="1">
        <f>L82*$C$29 + M82*$D$29</f>
        <v>0.17767779000000006</v>
      </c>
      <c r="O82" s="1">
        <f>L82^2*$C$30^2 + M82^2*$D$30^2 + 2*L82*M82*$C$35</f>
        <v>0.14519421481117978</v>
      </c>
      <c r="P82" s="2">
        <f t="shared" si="12"/>
        <v>0.38104358649789632</v>
      </c>
      <c r="Q82" s="3">
        <f t="shared" si="14"/>
        <v>0.4233184751448128</v>
      </c>
      <c r="S82" s="1">
        <f t="shared" si="13"/>
        <v>0.7</v>
      </c>
      <c r="T82" s="1">
        <f t="shared" si="7"/>
        <v>0.30000000000000004</v>
      </c>
      <c r="U82" s="1">
        <f>S82*$C$29 + T82*$D$29</f>
        <v>9.7134269999999995E-2</v>
      </c>
      <c r="V82" s="1">
        <f>L38^2*$C$30^2 + M38^2*$D$30^2 + 2*L38*M38*(-$C$30*$D$30)</f>
        <v>1.4722504621508564E-2</v>
      </c>
      <c r="W82" s="1">
        <f t="shared" si="9"/>
        <v>0.12133632853151839</v>
      </c>
    </row>
    <row r="83" spans="12:23">
      <c r="L83" s="1">
        <f t="shared" si="15"/>
        <v>-0.99999999999999922</v>
      </c>
      <c r="M83" s="1">
        <f t="shared" si="11"/>
        <v>1.9999999999999991</v>
      </c>
      <c r="N83" s="1">
        <f>L83*$C$29 + M83*$D$29</f>
        <v>0.17320315000000003</v>
      </c>
      <c r="O83" s="1">
        <f>L83^2*$C$30^2 + M83^2*$D$30^2 + 2*L83*M83*$C$35</f>
        <v>0.13572966496434458</v>
      </c>
      <c r="P83" s="2">
        <f t="shared" si="12"/>
        <v>0.36841507157599374</v>
      </c>
      <c r="Q83" s="3">
        <f t="shared" si="14"/>
        <v>0.42568331781087509</v>
      </c>
      <c r="S83" s="1">
        <f t="shared" si="13"/>
        <v>0.79999999999999993</v>
      </c>
      <c r="T83" s="1">
        <f t="shared" si="7"/>
        <v>0.20000000000000007</v>
      </c>
      <c r="U83" s="1">
        <f>S83*$C$29 + T83*$D$29</f>
        <v>9.2659630000000007E-2</v>
      </c>
      <c r="V83" s="1">
        <f>L39^2*$C$30^2 + M39^2*$D$30^2 + 2*L39*M39*(-$C$30*$D$30)</f>
        <v>3.1845158283838174E-2</v>
      </c>
      <c r="W83" s="1">
        <f t="shared" si="9"/>
        <v>0.17845211762217386</v>
      </c>
    </row>
    <row r="84" spans="12:23">
      <c r="L84" s="1">
        <f t="shared" si="15"/>
        <v>-0.89999999999999925</v>
      </c>
      <c r="M84" s="1">
        <f t="shared" si="11"/>
        <v>1.8999999999999992</v>
      </c>
      <c r="N84" s="1">
        <f>L84*$C$29 + M84*$D$29</f>
        <v>0.16872851000000005</v>
      </c>
      <c r="O84" s="1">
        <f>L84^2*$C$30^2 + M84^2*$D$30^2 + 2*L84*M84*$C$35</f>
        <v>0.1269280916782787</v>
      </c>
      <c r="P84" s="2">
        <f t="shared" si="12"/>
        <v>0.35626968953066818</v>
      </c>
      <c r="Q84" s="3">
        <f t="shared" si="14"/>
        <v>0.42763534052167873</v>
      </c>
      <c r="S84" s="1">
        <f t="shared" si="13"/>
        <v>0.89999999999999991</v>
      </c>
      <c r="T84" s="1">
        <f t="shared" si="7"/>
        <v>0.10000000000000009</v>
      </c>
      <c r="U84" s="1">
        <f>S84*$C$29 + T84*$D$29</f>
        <v>8.8184989999999991E-2</v>
      </c>
      <c r="V84" s="1">
        <f>L40^2*$C$30^2 + M40^2*$D$30^2 + 2*L40*M40*(-$C$30*$D$30)</f>
        <v>5.5492238673064243E-2</v>
      </c>
      <c r="W84" s="1">
        <f t="shared" si="9"/>
        <v>0.23556790671282929</v>
      </c>
    </row>
    <row r="85" spans="12:23">
      <c r="L85" s="1">
        <f t="shared" si="15"/>
        <v>-0.79999999999999927</v>
      </c>
      <c r="M85" s="1">
        <f t="shared" si="11"/>
        <v>1.7999999999999994</v>
      </c>
      <c r="N85" s="1">
        <f>L85*$C$29 + M85*$D$29</f>
        <v>0.16425387000000005</v>
      </c>
      <c r="O85" s="1">
        <f>L85^2*$C$30^2 + M85^2*$D$30^2 + 2*L85*M85*$C$35</f>
        <v>0.11878949495298211</v>
      </c>
      <c r="P85" s="2">
        <f t="shared" si="12"/>
        <v>0.3446585193390439</v>
      </c>
      <c r="Q85" s="3">
        <f t="shared" si="14"/>
        <v>0.42905908806081239</v>
      </c>
      <c r="S85" s="1">
        <f t="shared" si="13"/>
        <v>0.99999999999999989</v>
      </c>
      <c r="T85" s="1">
        <f t="shared" si="7"/>
        <v>0</v>
      </c>
      <c r="U85" s="1">
        <f>S85*$C$29 + T85*$D$29</f>
        <v>8.3710349999999975E-2</v>
      </c>
      <c r="V85" s="1">
        <f>L41^2*$C$30^2 + M41^2*$D$30^2 + 2*L41*M41*(-$C$30*$D$30)</f>
        <v>8.5663745789186813E-2</v>
      </c>
      <c r="W85" s="1">
        <f t="shared" si="9"/>
        <v>0.2926836958034848</v>
      </c>
    </row>
    <row r="86" spans="12:23">
      <c r="L86" s="1">
        <f t="shared" si="15"/>
        <v>-0.69999999999999929</v>
      </c>
      <c r="M86" s="1">
        <f t="shared" si="11"/>
        <v>1.6999999999999993</v>
      </c>
      <c r="N86" s="1">
        <f>L86*$C$29 + M86*$D$29</f>
        <v>0.15977923000000002</v>
      </c>
      <c r="O86" s="1">
        <f>L86^2*$C$30^2 + M86^2*$D$30^2 + 2*L86*M86*$C$35</f>
        <v>0.11131387478845473</v>
      </c>
      <c r="P86" s="2">
        <f t="shared" si="12"/>
        <v>0.33363734021906888</v>
      </c>
      <c r="Q86" s="3">
        <f t="shared" si="14"/>
        <v>0.42982068465669848</v>
      </c>
      <c r="S86" s="1">
        <f t="shared" si="13"/>
        <v>1.0999999999999999</v>
      </c>
      <c r="T86" s="1">
        <f t="shared" si="7"/>
        <v>-9.9999999999999867E-2</v>
      </c>
      <c r="U86" s="1">
        <f>S86*$C$29 + T86*$D$29</f>
        <v>7.9235709999999987E-2</v>
      </c>
      <c r="V86" s="1">
        <f>L42^2*$C$30^2 + M42^2*$D$30^2 + 2*L42*M42*(-$C$30*$D$30)</f>
        <v>0.12235967963220581</v>
      </c>
      <c r="W86" s="1">
        <f t="shared" si="9"/>
        <v>0.3497994848941402</v>
      </c>
    </row>
    <row r="87" spans="12:23">
      <c r="L87" s="1">
        <f t="shared" si="15"/>
        <v>-0.59999999999999931</v>
      </c>
      <c r="M87" s="1">
        <f t="shared" si="11"/>
        <v>1.5999999999999992</v>
      </c>
      <c r="N87" s="1">
        <f>L87*$C$29 + M87*$D$29</f>
        <v>0.15530459000000002</v>
      </c>
      <c r="O87" s="1">
        <f>L87^2*$C$30^2 + M87^2*$D$30^2 + 2*L87*M87*$C$35</f>
        <v>0.10450123118469662</v>
      </c>
      <c r="P87" s="2">
        <f t="shared" si="12"/>
        <v>0.32326650179796951</v>
      </c>
      <c r="Q87" s="3">
        <f t="shared" si="14"/>
        <v>0.42976797542365297</v>
      </c>
      <c r="S87" s="1">
        <f t="shared" si="13"/>
        <v>1.2</v>
      </c>
      <c r="T87" s="1">
        <f t="shared" si="7"/>
        <v>-0.19999999999999996</v>
      </c>
      <c r="U87" s="1">
        <f>S87*$C$29 + T87*$D$29</f>
        <v>7.4761069999999985E-2</v>
      </c>
      <c r="V87" s="1">
        <f>L43^2*$C$30^2 + M43^2*$D$30^2 + 2*L43*M43*(-$C$30*$D$30)</f>
        <v>0.16558004020212136</v>
      </c>
      <c r="W87" s="1">
        <f t="shared" si="9"/>
        <v>0.40691527398479571</v>
      </c>
    </row>
    <row r="88" spans="12:23">
      <c r="L88" s="1">
        <f t="shared" si="15"/>
        <v>-0.49999999999999933</v>
      </c>
      <c r="M88" s="1">
        <f t="shared" si="11"/>
        <v>1.4999999999999993</v>
      </c>
      <c r="N88" s="1">
        <f>L88*$C$29 + M88*$D$29</f>
        <v>0.15082995000000002</v>
      </c>
      <c r="O88" s="1">
        <f>L88^2*$C$30^2 + M88^2*$D$30^2 + 2*L88*M88*$C$35</f>
        <v>9.8351564141707828E-2</v>
      </c>
      <c r="P88" s="2">
        <f t="shared" si="12"/>
        <v>0.31361052938590539</v>
      </c>
      <c r="Q88" s="3">
        <f t="shared" si="14"/>
        <v>0.42873225673666693</v>
      </c>
      <c r="S88" s="1">
        <f t="shared" si="13"/>
        <v>1.3</v>
      </c>
      <c r="T88" s="1">
        <f t="shared" si="7"/>
        <v>-0.30000000000000004</v>
      </c>
      <c r="U88" s="1">
        <f>S88*$C$29 + T88*$D$29</f>
        <v>7.0286429999999969E-2</v>
      </c>
      <c r="V88" s="1">
        <f>L44^2*$C$30^2 + M44^2*$D$30^2 + 2*L44*M44*(-$C$30*$D$30)</f>
        <v>0.21532482749893339</v>
      </c>
      <c r="W88" s="1">
        <f t="shared" si="9"/>
        <v>0.46403106307545122</v>
      </c>
    </row>
    <row r="89" spans="12:23">
      <c r="L89" s="1">
        <f t="shared" si="15"/>
        <v>-0.39999999999999936</v>
      </c>
      <c r="M89" s="1">
        <f t="shared" si="11"/>
        <v>1.3999999999999995</v>
      </c>
      <c r="N89" s="1">
        <f>L89*$C$29 + M89*$D$29</f>
        <v>0.14635531000000004</v>
      </c>
      <c r="O89" s="1">
        <f>L89^2*$C$30^2 + M89^2*$D$30^2 + 2*L89*M89*$C$35</f>
        <v>9.2864873659488284E-2</v>
      </c>
      <c r="P89" s="2">
        <f t="shared" si="12"/>
        <v>0.30473738474215512</v>
      </c>
      <c r="Q89" s="3">
        <f t="shared" si="14"/>
        <v>0.42653220939721326</v>
      </c>
      <c r="S89" s="1">
        <f t="shared" si="13"/>
        <v>1.4000000000000001</v>
      </c>
      <c r="T89" s="1">
        <f t="shared" si="7"/>
        <v>-0.40000000000000013</v>
      </c>
      <c r="U89" s="1">
        <f>S89*$C$29 + T89*$D$29</f>
        <v>6.5811789999999967E-2</v>
      </c>
      <c r="V89" s="1">
        <f>L45^2*$C$30^2 + M45^2*$D$30^2 + 2*L45*M45*(-$C$30*$D$30)</f>
        <v>0.27159404152264194</v>
      </c>
      <c r="W89" s="1">
        <f t="shared" si="9"/>
        <v>0.52114685216610679</v>
      </c>
    </row>
    <row r="90" spans="12:23">
      <c r="L90" s="1">
        <f t="shared" si="15"/>
        <v>-0.29999999999999938</v>
      </c>
      <c r="M90" s="1">
        <f t="shared" si="11"/>
        <v>1.2999999999999994</v>
      </c>
      <c r="N90" s="1">
        <f>L90*$C$29 + M90*$D$29</f>
        <v>0.14188067000000001</v>
      </c>
      <c r="O90" s="1">
        <f>L90^2*$C$30^2 + M90^2*$D$30^2 + 2*L90*M90*$C$35</f>
        <v>8.8041159738037972E-2</v>
      </c>
      <c r="P90" s="2">
        <f t="shared" si="12"/>
        <v>0.29671730609797259</v>
      </c>
      <c r="Q90" s="3">
        <f t="shared" si="14"/>
        <v>0.42298061966955008</v>
      </c>
      <c r="S90" s="1">
        <f t="shared" si="13"/>
        <v>1.5000000000000002</v>
      </c>
      <c r="T90" s="1">
        <f t="shared" si="7"/>
        <v>-0.50000000000000022</v>
      </c>
      <c r="U90" s="1">
        <f>S90*$C$29 + T90*$D$29</f>
        <v>6.1337149999999965E-2</v>
      </c>
      <c r="V90" s="1">
        <f>L46^2*$C$30^2 + M46^2*$D$30^2 + 2*L46*M46*(-$C$30*$D$30)</f>
        <v>0.33438768227324694</v>
      </c>
      <c r="W90" s="1">
        <f t="shared" si="9"/>
        <v>0.5782626412567623</v>
      </c>
    </row>
    <row r="91" spans="12:23">
      <c r="L91" s="1">
        <f t="shared" si="15"/>
        <v>-0.19999999999999937</v>
      </c>
      <c r="M91" s="1">
        <f t="shared" si="11"/>
        <v>1.1999999999999993</v>
      </c>
      <c r="N91" s="1">
        <f>L91*$C$29 + M91*$D$29</f>
        <v>0.13740603000000001</v>
      </c>
      <c r="O91" s="1">
        <f>L91^2*$C$30^2 + M91^2*$D$30^2 + 2*L91*M91*$C$35</f>
        <v>8.3880422377356906E-2</v>
      </c>
      <c r="P91" s="2">
        <f t="shared" si="12"/>
        <v>0.28962117045781877</v>
      </c>
      <c r="Q91" s="3">
        <f t="shared" si="14"/>
        <v>0.41789427826936881</v>
      </c>
      <c r="S91" s="1">
        <f t="shared" si="13"/>
        <v>1.6000000000000003</v>
      </c>
      <c r="T91" s="1">
        <f t="shared" si="7"/>
        <v>-0.60000000000000031</v>
      </c>
      <c r="U91" s="1">
        <f>S91*$C$29 + T91*$D$29</f>
        <v>5.6862509999999949E-2</v>
      </c>
      <c r="V91" s="1">
        <f>L47^2*$C$30^2 + M47^2*$D$30^2 + 2*L47*M47*(-$C$30*$D$30)</f>
        <v>0.40370574975074841</v>
      </c>
      <c r="W91" s="1">
        <f t="shared" si="9"/>
        <v>0.63537843034741781</v>
      </c>
    </row>
    <row r="92" spans="12:23">
      <c r="L92" s="1">
        <f t="shared" si="15"/>
        <v>-9.9999999999999367E-2</v>
      </c>
      <c r="M92" s="1">
        <f t="shared" si="11"/>
        <v>1.0999999999999994</v>
      </c>
      <c r="N92" s="1">
        <f>L92*$C$29 + M92*$D$29</f>
        <v>0.13293139000000001</v>
      </c>
      <c r="O92" s="1">
        <f>L92^2*$C$30^2 + M92^2*$D$30^2 + 2*L92*M92*$C$35</f>
        <v>8.0382661577445128E-2</v>
      </c>
      <c r="P92" s="2">
        <f t="shared" si="12"/>
        <v>0.28351836197580771</v>
      </c>
      <c r="Q92" s="3">
        <f t="shared" si="14"/>
        <v>0.41110702385458064</v>
      </c>
      <c r="S92" s="1">
        <f t="shared" si="13"/>
        <v>1.7000000000000004</v>
      </c>
      <c r="T92" s="1">
        <f t="shared" si="7"/>
        <v>-0.7000000000000004</v>
      </c>
      <c r="U92" s="1">
        <f>S92*$C$29 + T92*$D$29</f>
        <v>5.2387869999999934E-2</v>
      </c>
      <c r="V92" s="1">
        <f>L48^2*$C$30^2 + M48^2*$D$30^2 + 2*L48*M48*(-$C$30*$D$30)</f>
        <v>0.47954824395514639</v>
      </c>
      <c r="W92" s="1">
        <f t="shared" si="9"/>
        <v>0.69249421943807332</v>
      </c>
    </row>
    <row r="93" spans="12:23">
      <c r="L93" s="1">
        <f>0</f>
        <v>0</v>
      </c>
      <c r="M93" s="1">
        <f t="shared" si="11"/>
        <v>1</v>
      </c>
      <c r="N93" s="1">
        <f>L93*$C$29 + M93*$D$29</f>
        <v>0.12845675000000004</v>
      </c>
      <c r="O93" s="1">
        <f>L93^2*$C$30^2 + M93^2*$D$30^2 + 2*L93*M93*$C$35</f>
        <v>7.7547877338302623E-2</v>
      </c>
      <c r="P93" s="2">
        <f t="shared" si="12"/>
        <v>0.27847419510306987</v>
      </c>
      <c r="Q93" s="3">
        <f t="shared" si="14"/>
        <v>0.40248522832974143</v>
      </c>
      <c r="S93" s="1">
        <f t="shared" si="13"/>
        <v>1.8000000000000005</v>
      </c>
      <c r="T93" s="1">
        <f t="shared" si="7"/>
        <v>-0.80000000000000049</v>
      </c>
      <c r="U93" s="1">
        <f>S93*$C$29 + T93*$D$29</f>
        <v>4.7913229999999918E-2</v>
      </c>
      <c r="V93" s="1">
        <f>L49^2*$C$30^2 + M49^2*$D$30^2 + 2*L49*M49*(-$C$30*$D$30)</f>
        <v>0.56191516488644089</v>
      </c>
      <c r="W93" s="1">
        <f t="shared" si="9"/>
        <v>0.74961000852872883</v>
      </c>
    </row>
    <row r="94" spans="12:23">
      <c r="L94" s="1">
        <f t="shared" si="15"/>
        <v>0.1</v>
      </c>
      <c r="M94" s="1">
        <f>1-L94</f>
        <v>0.9</v>
      </c>
      <c r="N94" s="1">
        <f>L94*$C$29 + M94*$D$29</f>
        <v>0.12398211000000003</v>
      </c>
      <c r="O94" s="1">
        <f>L94^2*$C$30^2 + M94^2*$D$30^2 + 2*L94*M94*$C$35</f>
        <v>7.5376069659929365E-2</v>
      </c>
      <c r="P94" s="2">
        <f t="shared" si="12"/>
        <v>0.27454702631776828</v>
      </c>
      <c r="Q94" s="3">
        <f t="shared" si="14"/>
        <v>0.39194418327245911</v>
      </c>
      <c r="S94" s="1">
        <f t="shared" si="13"/>
        <v>1.9000000000000006</v>
      </c>
      <c r="T94" s="1">
        <f t="shared" si="7"/>
        <v>-0.90000000000000058</v>
      </c>
      <c r="U94" s="1">
        <f>S94*$C$29 + T94*$D$29</f>
        <v>4.343858999999993E-2</v>
      </c>
      <c r="V94" s="1">
        <f>L50^2*$C$30^2 + M50^2*$D$30^2 + 2*L50*M50*(-$C$30*$D$30)</f>
        <v>0.65080651254463184</v>
      </c>
      <c r="W94" s="1">
        <f t="shared" si="9"/>
        <v>0.80672579761938434</v>
      </c>
    </row>
    <row r="95" spans="12:23">
      <c r="L95" s="1">
        <f t="shared" si="15"/>
        <v>0.2</v>
      </c>
      <c r="M95" s="1">
        <f t="shared" ref="M95:M113" si="16">1-L95</f>
        <v>0.8</v>
      </c>
      <c r="N95" s="1">
        <f>L95*$C$29 + M95*$D$29</f>
        <v>0.11950747000000003</v>
      </c>
      <c r="O95" s="1">
        <f>L95^2*$C$30^2 + M95^2*$D$30^2 + 2*L95*M95*$C$35</f>
        <v>7.3867238542325381E-2</v>
      </c>
      <c r="P95" s="2">
        <f t="shared" si="12"/>
        <v>0.27178528021643367</v>
      </c>
      <c r="Q95" s="3">
        <f t="shared" si="14"/>
        <v>0.37946304493706007</v>
      </c>
      <c r="S95" s="1">
        <f t="shared" si="13"/>
        <v>2.0000000000000004</v>
      </c>
      <c r="T95" s="1">
        <f t="shared" si="7"/>
        <v>-1.0000000000000004</v>
      </c>
      <c r="U95" s="1">
        <f>S95*$C$29 + T95*$D$29</f>
        <v>3.8963949999999914E-2</v>
      </c>
      <c r="V95" s="1">
        <f>L51^2*$C$30^2 + M51^2*$D$30^2 + 2*L51*M51*(-$C$30*$D$30)</f>
        <v>0.74622228692971904</v>
      </c>
      <c r="W95" s="1">
        <f t="shared" si="9"/>
        <v>0.86384158671003974</v>
      </c>
    </row>
    <row r="96" spans="12:23">
      <c r="L96" s="1">
        <f t="shared" si="15"/>
        <v>0.30000000000000004</v>
      </c>
      <c r="M96" s="1">
        <f t="shared" si="16"/>
        <v>0.7</v>
      </c>
      <c r="N96" s="1">
        <f>L96*$C$29 + M96*$D$29</f>
        <v>0.11503283000000002</v>
      </c>
      <c r="O96" s="1">
        <f>L96^2*$C$30^2 + M96^2*$D$30^2 + 2*L96*M96*$C$35</f>
        <v>7.3021383985490629E-2</v>
      </c>
      <c r="P96" s="2">
        <f t="shared" si="12"/>
        <v>0.27022469166508567</v>
      </c>
      <c r="Q96" s="3">
        <f t="shared" si="14"/>
        <v>0.3650955410184194</v>
      </c>
    </row>
    <row r="97" spans="12:17">
      <c r="L97" s="1">
        <f t="shared" si="15"/>
        <v>0.4</v>
      </c>
      <c r="M97" s="1">
        <f t="shared" si="16"/>
        <v>0.6</v>
      </c>
      <c r="N97" s="1">
        <f>L97*$C$29 + M97*$D$29</f>
        <v>0.11055819000000001</v>
      </c>
      <c r="O97" s="1">
        <f>L97^2*$C$30^2 + M97^2*$D$30^2 + 2*L97*M97*$C$35</f>
        <v>7.2838505989425151E-2</v>
      </c>
      <c r="P97" s="2">
        <f t="shared" si="12"/>
        <v>0.26988609817740733</v>
      </c>
      <c r="Q97" s="3">
        <f t="shared" si="14"/>
        <v>0.3489738472490328</v>
      </c>
    </row>
    <row r="98" spans="12:17">
      <c r="L98" s="1">
        <f t="shared" si="15"/>
        <v>0.5</v>
      </c>
      <c r="M98" s="1">
        <f t="shared" si="16"/>
        <v>0.5</v>
      </c>
      <c r="N98" s="1">
        <f>L98*$C$29 + M98*$D$29</f>
        <v>0.10608355000000001</v>
      </c>
      <c r="O98" s="1">
        <f>L98^2*$C$30^2 + M98^2*$D$30^2 + 2*L98*M98*$C$35</f>
        <v>7.3318604554128947E-2</v>
      </c>
      <c r="P98" s="2">
        <f t="shared" si="12"/>
        <v>0.27077408397800729</v>
      </c>
      <c r="Q98" s="3">
        <f t="shared" si="14"/>
        <v>0.33130404757379323</v>
      </c>
    </row>
    <row r="99" spans="12:17">
      <c r="L99" s="1">
        <f t="shared" si="15"/>
        <v>0.6</v>
      </c>
      <c r="M99" s="1">
        <f t="shared" si="16"/>
        <v>0.4</v>
      </c>
      <c r="N99" s="1">
        <f>L99*$C$29 + M99*$D$29</f>
        <v>0.10160891000000001</v>
      </c>
      <c r="O99" s="1">
        <f>L99^2*$C$30^2 + M99^2*$D$30^2 + 2*L99*M99*$C$35</f>
        <v>7.4461679679601989E-2</v>
      </c>
      <c r="P99" s="2">
        <f t="shared" si="12"/>
        <v>0.27287667485441475</v>
      </c>
      <c r="Q99" s="3">
        <f t="shared" si="14"/>
        <v>0.31235322713263797</v>
      </c>
    </row>
    <row r="100" spans="12:17">
      <c r="L100" s="1">
        <f t="shared" si="15"/>
        <v>0.7</v>
      </c>
      <c r="M100" s="1">
        <f t="shared" si="16"/>
        <v>0.30000000000000004</v>
      </c>
      <c r="N100" s="1">
        <f>L100*$C$29 + M100*$D$29</f>
        <v>9.7134269999999995E-2</v>
      </c>
      <c r="O100" s="1">
        <f>L100^2*$C$30^2 + M100^2*$D$30^2 + 2*L100*M100*$C$35</f>
        <v>7.6267731365844305E-2</v>
      </c>
      <c r="P100" s="2">
        <f t="shared" si="12"/>
        <v>0.27616613001207135</v>
      </c>
      <c r="Q100" s="3">
        <f t="shared" si="14"/>
        <v>0.29243003114273997</v>
      </c>
    </row>
    <row r="101" spans="12:17">
      <c r="L101" s="1">
        <f t="shared" si="15"/>
        <v>0.79999999999999993</v>
      </c>
      <c r="M101" s="1">
        <f t="shared" si="16"/>
        <v>0.20000000000000007</v>
      </c>
      <c r="N101" s="1">
        <f>L101*$C$29 + M101*$D$29</f>
        <v>9.2659630000000007E-2</v>
      </c>
      <c r="O101" s="1">
        <f>L101^2*$C$30^2 + M101^2*$D$30^2 + 2*L101*M101*$C$35</f>
        <v>7.8736759612855881E-2</v>
      </c>
      <c r="P101" s="2">
        <f t="shared" si="12"/>
        <v>0.28060071206762088</v>
      </c>
      <c r="Q101" s="3">
        <f t="shared" si="14"/>
        <v>0.27186185465422646</v>
      </c>
    </row>
    <row r="102" spans="12:17">
      <c r="L102" s="1">
        <f t="shared" si="15"/>
        <v>0.89999999999999991</v>
      </c>
      <c r="M102" s="1">
        <f t="shared" si="16"/>
        <v>0.10000000000000009</v>
      </c>
      <c r="N102" s="1">
        <f>L102*$C$29 + M102*$D$29</f>
        <v>8.8184989999999991E-2</v>
      </c>
      <c r="O102" s="1">
        <f>L102^2*$C$30^2 + M102^2*$D$30^2 + 2*L102*M102*$C$35</f>
        <v>8.186876442063673E-2</v>
      </c>
      <c r="P102" s="2">
        <f t="shared" si="12"/>
        <v>0.2861271822470503</v>
      </c>
      <c r="Q102" s="3">
        <f t="shared" si="14"/>
        <v>0.25097227546174627</v>
      </c>
    </row>
    <row r="103" spans="12:17">
      <c r="L103" s="1">
        <f t="shared" si="15"/>
        <v>0.99999999999999989</v>
      </c>
      <c r="M103" s="1">
        <f t="shared" si="16"/>
        <v>0</v>
      </c>
      <c r="N103" s="1">
        <f>L103*$C$29 + M103*$D$29</f>
        <v>8.3710349999999975E-2</v>
      </c>
      <c r="O103" s="1">
        <f>L103^2*$C$30^2 + M103^2*$D$30^2 + 2*L103*M103*$C$35</f>
        <v>8.5663745789186813E-2</v>
      </c>
      <c r="P103" s="2">
        <f t="shared" si="12"/>
        <v>0.2926836958034848</v>
      </c>
      <c r="Q103" s="3">
        <f t="shared" si="14"/>
        <v>0.23006184138528379</v>
      </c>
    </row>
    <row r="104" spans="12:17">
      <c r="L104" s="1">
        <f t="shared" si="15"/>
        <v>1.0999999999999999</v>
      </c>
      <c r="M104" s="1">
        <f t="shared" si="16"/>
        <v>-9.9999999999999867E-2</v>
      </c>
      <c r="N104" s="1">
        <f>L104*$C$29 + M104*$D$29</f>
        <v>7.9235709999999987E-2</v>
      </c>
      <c r="O104" s="1">
        <f>L104^2*$C$30^2 + M104^2*$D$30^2 + 2*L104*M104*$C$35</f>
        <v>9.0121703718506183E-2</v>
      </c>
      <c r="P104" s="2">
        <f t="shared" si="12"/>
        <v>0.30020277100404352</v>
      </c>
      <c r="Q104" s="3">
        <f t="shared" si="14"/>
        <v>0.2093941697798429</v>
      </c>
    </row>
    <row r="105" spans="12:17">
      <c r="L105" s="1">
        <f t="shared" si="15"/>
        <v>1.2</v>
      </c>
      <c r="M105" s="1">
        <f t="shared" si="16"/>
        <v>-0.19999999999999996</v>
      </c>
      <c r="N105" s="1">
        <f>L105*$C$29 + M105*$D$29</f>
        <v>7.4761069999999985E-2</v>
      </c>
      <c r="O105" s="1">
        <f>L105^2*$C$30^2 + M105^2*$D$30^2 + 2*L105*M105*$C$35</f>
        <v>9.5242638208594813E-2</v>
      </c>
      <c r="P105" s="2">
        <f t="shared" si="12"/>
        <v>0.30861406028986238</v>
      </c>
      <c r="Q105" s="3">
        <f t="shared" si="14"/>
        <v>0.18918797784249203</v>
      </c>
    </row>
    <row r="106" spans="12:17">
      <c r="L106" s="1">
        <f t="shared" si="15"/>
        <v>1.3</v>
      </c>
      <c r="M106" s="1">
        <f t="shared" si="16"/>
        <v>-0.30000000000000004</v>
      </c>
      <c r="N106" s="1">
        <f>L106*$C$29 + M106*$D$29</f>
        <v>7.0286429999999969E-2</v>
      </c>
      <c r="O106" s="1">
        <f>L106^2*$C$30^2 + M106^2*$D$30^2 + 2*L106*M106*$C$35</f>
        <v>0.10102654925945273</v>
      </c>
      <c r="P106" s="2">
        <f t="shared" si="12"/>
        <v>0.3178467386327139</v>
      </c>
      <c r="Q106" s="3">
        <f t="shared" si="14"/>
        <v>0.16961454514811627</v>
      </c>
    </row>
    <row r="107" spans="12:17">
      <c r="L107" s="1">
        <f t="shared" si="15"/>
        <v>1.4000000000000001</v>
      </c>
      <c r="M107" s="1">
        <f t="shared" si="16"/>
        <v>-0.40000000000000013</v>
      </c>
      <c r="N107" s="1">
        <f>L107*$C$29 + M107*$D$29</f>
        <v>6.5811789999999967E-2</v>
      </c>
      <c r="O107" s="1">
        <f>L107^2*$C$30^2 + M107^2*$D$30^2 + 2*L107*M107*$C$35</f>
        <v>0.10747343687107988</v>
      </c>
      <c r="P107" s="2">
        <f t="shared" si="12"/>
        <v>0.32783141532055754</v>
      </c>
      <c r="Q107" s="3">
        <f t="shared" si="14"/>
        <v>0.1507994282721809</v>
      </c>
    </row>
    <row r="108" spans="12:17">
      <c r="L108" s="1">
        <f t="shared" si="15"/>
        <v>1.5000000000000002</v>
      </c>
      <c r="M108" s="1">
        <f t="shared" si="16"/>
        <v>-0.50000000000000022</v>
      </c>
      <c r="N108" s="1">
        <f>L108*$C$29 + M108*$D$29</f>
        <v>6.1337149999999965E-2</v>
      </c>
      <c r="O108" s="1">
        <f>L108^2*$C$30^2 + M108^2*$D$30^2 + 2*L108*M108*$C$35</f>
        <v>0.1145833010434763</v>
      </c>
      <c r="P108" s="2">
        <f t="shared" si="12"/>
        <v>0.33850155249788189</v>
      </c>
      <c r="Q108" s="3">
        <f t="shared" si="14"/>
        <v>0.13282701266275967</v>
      </c>
    </row>
    <row r="109" spans="12:17">
      <c r="L109" s="1">
        <f t="shared" si="15"/>
        <v>1.6000000000000003</v>
      </c>
      <c r="M109" s="1">
        <f t="shared" si="16"/>
        <v>-0.60000000000000031</v>
      </c>
      <c r="N109" s="1">
        <f>L109*$C$29 + M109*$D$29</f>
        <v>5.6862509999999949E-2</v>
      </c>
      <c r="O109" s="1">
        <f>L109^2*$C$30^2 + M109^2*$D$30^2 + 2*L109*M109*$C$35</f>
        <v>0.12235614177664199</v>
      </c>
      <c r="P109" s="2">
        <f t="shared" si="12"/>
        <v>0.34979442788106557</v>
      </c>
      <c r="Q109" s="3">
        <f t="shared" si="14"/>
        <v>0.11574658362987475</v>
      </c>
    </row>
    <row r="110" spans="12:17">
      <c r="L110" s="1">
        <f t="shared" si="15"/>
        <v>1.7000000000000004</v>
      </c>
      <c r="M110" s="1">
        <f t="shared" si="16"/>
        <v>-0.7000000000000004</v>
      </c>
      <c r="N110" s="1">
        <f>L110*$C$29 + M110*$D$29</f>
        <v>5.2387869999999934E-2</v>
      </c>
      <c r="O110" s="1">
        <f>L110^2*$C$30^2 + M110^2*$D$30^2 + 2*L110*M110*$C$35</f>
        <v>0.13079195907057689</v>
      </c>
      <c r="P110" s="2">
        <f t="shared" si="12"/>
        <v>0.36165170961931992</v>
      </c>
      <c r="Q110" s="3">
        <f t="shared" si="14"/>
        <v>9.9578873933452786E-2</v>
      </c>
    </row>
    <row r="111" spans="12:17">
      <c r="L111" s="1">
        <f t="shared" si="15"/>
        <v>1.8000000000000005</v>
      </c>
      <c r="M111" s="1">
        <f t="shared" si="16"/>
        <v>-0.80000000000000049</v>
      </c>
      <c r="N111" s="1">
        <f>L111*$C$29 + M111*$D$29</f>
        <v>4.7913229999999918E-2</v>
      </c>
      <c r="O111" s="1">
        <f>L111^2*$C$30^2 + M111^2*$D$30^2 + 2*L111*M111*$C$35</f>
        <v>0.13989075292528114</v>
      </c>
      <c r="P111" s="2">
        <f t="shared" si="12"/>
        <v>0.37401972264211031</v>
      </c>
      <c r="Q111" s="3">
        <f t="shared" si="14"/>
        <v>8.4322371497446466E-2</v>
      </c>
    </row>
    <row r="112" spans="12:17">
      <c r="L112" s="1">
        <f t="shared" si="15"/>
        <v>1.9000000000000006</v>
      </c>
      <c r="M112" s="1">
        <f t="shared" si="16"/>
        <v>-0.90000000000000058</v>
      </c>
      <c r="N112" s="1">
        <f>L112*$C$29 + M112*$D$29</f>
        <v>4.343858999999993E-2</v>
      </c>
      <c r="O112" s="1">
        <f>L112^2*$C$30^2 + M112^2*$D$30^2 + 2*L112*M112*$C$35</f>
        <v>0.14965252334075463</v>
      </c>
      <c r="P112" s="2">
        <f t="shared" si="12"/>
        <v>0.38684948409007169</v>
      </c>
      <c r="Q112" s="3">
        <f t="shared" si="14"/>
        <v>6.9958966246672333E-2</v>
      </c>
    </row>
    <row r="113" spans="12:17">
      <c r="L113" s="1">
        <f t="shared" si="15"/>
        <v>2.0000000000000004</v>
      </c>
      <c r="M113" s="1">
        <f t="shared" si="16"/>
        <v>-1.0000000000000004</v>
      </c>
      <c r="N113" s="1">
        <f>L113*$C$29 + M113*$D$29</f>
        <v>3.8963949999999914E-2</v>
      </c>
      <c r="O113" s="1">
        <f>L113^2*$C$30^2 + M113^2*$D$30^2 + 2*L113*M113*$C$35</f>
        <v>0.16007727031699737</v>
      </c>
      <c r="P113" s="2">
        <f t="shared" si="12"/>
        <v>0.40009657623753464</v>
      </c>
      <c r="Q113" s="3">
        <f t="shared" si="14"/>
        <v>5.6458743567425598E-2</v>
      </c>
    </row>
    <row r="115" spans="12:17">
      <c r="L115" s="1" t="s">
        <v>31</v>
      </c>
      <c r="M115" s="1" t="s">
        <v>28</v>
      </c>
      <c r="N115" s="1" t="s">
        <v>11</v>
      </c>
      <c r="O115" s="5" t="s">
        <v>12</v>
      </c>
      <c r="P115" s="6" t="s">
        <v>14</v>
      </c>
      <c r="Q115" s="1" t="s">
        <v>32</v>
      </c>
    </row>
    <row r="116" spans="12:17">
      <c r="L116" s="1"/>
      <c r="M116" s="1">
        <f>INDEX(L73:L113, MATCH(MAX(Q73:Q113), Q73:Q113, 0))</f>
        <v>-0.69999999999999929</v>
      </c>
      <c r="N116" s="2">
        <f>INDEX(M73:M113, MATCH(MAX(Q73:Q113), Q73:Q113, 0))</f>
        <v>1.6999999999999993</v>
      </c>
      <c r="O116" s="1">
        <f>INDEX(N73:N113, MATCH(MAX(Q73:Q113), Q73:Q113, 0))</f>
        <v>0.15977923000000002</v>
      </c>
      <c r="P116" s="1">
        <f>INDEX(P73:P113, MATCH(MAX(Q73:Q113), Q73:Q113, 0))</f>
        <v>0.33363734021906888</v>
      </c>
      <c r="Q116" s="4">
        <f>MAX(Q73:Q113)</f>
        <v>0.42982068465669848</v>
      </c>
    </row>
    <row r="118" spans="12:17">
      <c r="L118" s="2" t="s">
        <v>33</v>
      </c>
      <c r="M118" s="5" t="s">
        <v>34</v>
      </c>
    </row>
    <row r="119" spans="12:17">
      <c r="L119" s="2">
        <v>0</v>
      </c>
      <c r="M119" s="1">
        <f>$J$5 + MAX($Q$73:$Q$113)*L119</f>
        <v>1.6375000000000001E-2</v>
      </c>
    </row>
    <row r="120" spans="12:17">
      <c r="L120" s="2">
        <v>0.02</v>
      </c>
      <c r="M120" s="1">
        <f>$J$5 + MAX($Q$73:$Q$113)*L120</f>
        <v>2.4971413693133972E-2</v>
      </c>
    </row>
    <row r="121" spans="12:17">
      <c r="L121" s="2">
        <v>0.04</v>
      </c>
      <c r="M121" s="1">
        <f t="shared" ref="M121:M139" si="17">$J$5 + MAX($Q$73:$Q$113)*L121</f>
        <v>3.3567827386267943E-2</v>
      </c>
    </row>
    <row r="122" spans="12:17">
      <c r="L122" s="2">
        <v>0.06</v>
      </c>
      <c r="M122" s="1">
        <f t="shared" si="17"/>
        <v>4.2164241079401907E-2</v>
      </c>
    </row>
    <row r="123" spans="12:17">
      <c r="L123" s="2">
        <v>0.08</v>
      </c>
      <c r="M123" s="1">
        <f t="shared" si="17"/>
        <v>5.0760654772535878E-2</v>
      </c>
    </row>
    <row r="124" spans="12:17">
      <c r="L124" s="2">
        <v>0.1</v>
      </c>
      <c r="M124" s="1">
        <f t="shared" si="17"/>
        <v>5.9357068465669849E-2</v>
      </c>
    </row>
    <row r="125" spans="12:17">
      <c r="L125" s="2">
        <v>0.12</v>
      </c>
      <c r="M125" s="1">
        <f t="shared" si="17"/>
        <v>6.7953482158803813E-2</v>
      </c>
    </row>
    <row r="126" spans="12:17">
      <c r="L126" s="2">
        <v>0.14000000000000001</v>
      </c>
      <c r="M126" s="1">
        <f t="shared" si="17"/>
        <v>7.6549895851937791E-2</v>
      </c>
    </row>
    <row r="127" spans="12:17">
      <c r="L127" s="2">
        <v>0.16</v>
      </c>
      <c r="M127" s="1">
        <f t="shared" si="17"/>
        <v>8.5146309545071755E-2</v>
      </c>
    </row>
    <row r="128" spans="12:17">
      <c r="L128" s="2">
        <v>0.18</v>
      </c>
      <c r="M128" s="1">
        <f t="shared" si="17"/>
        <v>9.3742723238205719E-2</v>
      </c>
    </row>
    <row r="129" spans="12:20">
      <c r="L129" s="2">
        <v>0.2</v>
      </c>
      <c r="M129" s="1">
        <f t="shared" si="17"/>
        <v>0.1023391369313397</v>
      </c>
    </row>
    <row r="130" spans="12:20">
      <c r="L130" s="2">
        <v>0.22</v>
      </c>
      <c r="M130" s="1">
        <f t="shared" si="17"/>
        <v>0.11093555062447366</v>
      </c>
    </row>
    <row r="131" spans="12:20">
      <c r="L131" s="2">
        <v>0.24</v>
      </c>
      <c r="M131" s="1">
        <f t="shared" si="17"/>
        <v>0.11953196431760764</v>
      </c>
    </row>
    <row r="132" spans="12:20">
      <c r="L132" s="2">
        <v>0.26</v>
      </c>
      <c r="M132" s="1">
        <f t="shared" si="17"/>
        <v>0.12812837801074162</v>
      </c>
    </row>
    <row r="133" spans="12:20">
      <c r="L133" s="2">
        <v>0.28000000000000003</v>
      </c>
      <c r="M133" s="1">
        <f t="shared" si="17"/>
        <v>0.13672479170387558</v>
      </c>
    </row>
    <row r="134" spans="12:20">
      <c r="L134" s="2">
        <v>0.3</v>
      </c>
      <c r="M134" s="1">
        <f t="shared" si="17"/>
        <v>0.14532120539700955</v>
      </c>
    </row>
    <row r="135" spans="12:20">
      <c r="L135" s="2">
        <v>0.32</v>
      </c>
      <c r="M135" s="1">
        <f t="shared" si="17"/>
        <v>0.15391761909014351</v>
      </c>
    </row>
    <row r="136" spans="12:20">
      <c r="L136" s="2">
        <v>0.34</v>
      </c>
      <c r="M136" s="1">
        <f t="shared" si="17"/>
        <v>0.1625140327832775</v>
      </c>
    </row>
    <row r="137" spans="12:20">
      <c r="L137" s="2">
        <v>0.36</v>
      </c>
      <c r="M137" s="1">
        <f t="shared" si="17"/>
        <v>0.17111044647641144</v>
      </c>
    </row>
    <row r="138" spans="12:20">
      <c r="L138" s="2">
        <v>0.38</v>
      </c>
      <c r="M138" s="1">
        <f t="shared" si="17"/>
        <v>0.17970686016954543</v>
      </c>
    </row>
    <row r="139" spans="12:20">
      <c r="L139" s="2">
        <v>0.4</v>
      </c>
      <c r="M139" s="1">
        <f t="shared" si="17"/>
        <v>0.18830327386267939</v>
      </c>
    </row>
    <row r="141" spans="12:20">
      <c r="L141" s="1" t="s">
        <v>35</v>
      </c>
      <c r="M141" s="1" t="s">
        <v>36</v>
      </c>
      <c r="N141" s="1" t="s">
        <v>28</v>
      </c>
      <c r="O141" s="1" t="s">
        <v>11</v>
      </c>
      <c r="P141" s="1" t="s">
        <v>37</v>
      </c>
      <c r="Q141" s="1" t="s">
        <v>38</v>
      </c>
      <c r="R141" s="2" t="s">
        <v>39</v>
      </c>
      <c r="S141" s="1" t="s">
        <v>40</v>
      </c>
      <c r="T141" s="1" t="s">
        <v>41</v>
      </c>
    </row>
    <row r="142" spans="12:20">
      <c r="L142" s="1"/>
      <c r="M142" s="1">
        <f xml:space="preserve"> ($O$116-$J$5)/(4*$P$116^2)</f>
        <v>0.32207177737845144</v>
      </c>
      <c r="N142" s="1">
        <f>M142*(M116)</f>
        <v>-0.22545024416491577</v>
      </c>
      <c r="O142" s="1">
        <f>M142*(N116)</f>
        <v>0.54752202154336727</v>
      </c>
      <c r="P142" s="1">
        <f>1-M142</f>
        <v>0.67792822262154862</v>
      </c>
      <c r="Q142" s="1">
        <f xml:space="preserve"> $J$5 + M142*($O$116-$J$5)</f>
        <v>6.2561455239688257E-2</v>
      </c>
      <c r="R142" s="2">
        <f xml:space="preserve"> M142*$P$116</f>
        <v>0.10745517116417462</v>
      </c>
      <c r="S142" s="1">
        <f>Q142-2*(R142^2)</f>
        <v>3.9468227619844129E-2</v>
      </c>
      <c r="T142" s="1">
        <f>R142-(S142^2)/2</f>
        <v>0.1066763006684487</v>
      </c>
    </row>
    <row r="144" spans="12:20">
      <c r="L144" s="2" t="s">
        <v>42</v>
      </c>
      <c r="M144" s="5" t="s">
        <v>34</v>
      </c>
    </row>
    <row r="145" spans="12:13">
      <c r="L145" s="2">
        <v>0</v>
      </c>
      <c r="M145" s="1">
        <f>$S$142 + 2*L145^2</f>
        <v>3.9468227619844129E-2</v>
      </c>
    </row>
    <row r="146" spans="12:13">
      <c r="L146" s="2">
        <v>0.02</v>
      </c>
      <c r="M146" s="1">
        <f t="shared" ref="M146:M165" si="18">$S$142 + 2*L146^2</f>
        <v>4.0268227619844131E-2</v>
      </c>
    </row>
    <row r="147" spans="12:13">
      <c r="L147" s="2">
        <v>0.04</v>
      </c>
      <c r="M147" s="1">
        <f t="shared" si="18"/>
        <v>4.266822761984413E-2</v>
      </c>
    </row>
    <row r="148" spans="12:13">
      <c r="L148" s="2">
        <v>0.06</v>
      </c>
      <c r="M148" s="1">
        <f t="shared" si="18"/>
        <v>4.6668227619844127E-2</v>
      </c>
    </row>
    <row r="149" spans="12:13">
      <c r="L149" s="2">
        <v>0.08</v>
      </c>
      <c r="M149" s="1">
        <f t="shared" si="18"/>
        <v>5.2268227619844128E-2</v>
      </c>
    </row>
    <row r="150" spans="12:13">
      <c r="L150" s="2">
        <v>0.1</v>
      </c>
      <c r="M150" s="1">
        <f t="shared" si="18"/>
        <v>5.9468227619844133E-2</v>
      </c>
    </row>
    <row r="151" spans="12:13">
      <c r="L151" s="2">
        <v>0.12</v>
      </c>
      <c r="M151" s="1">
        <f t="shared" si="18"/>
        <v>6.8268227619844135E-2</v>
      </c>
    </row>
    <row r="152" spans="12:13">
      <c r="L152" s="2">
        <v>0.14000000000000001</v>
      </c>
      <c r="M152" s="1">
        <f t="shared" si="18"/>
        <v>7.8668227619844128E-2</v>
      </c>
    </row>
    <row r="153" spans="12:13">
      <c r="L153" s="2">
        <v>0.16</v>
      </c>
      <c r="M153" s="1">
        <f t="shared" si="18"/>
        <v>9.0668227619844138E-2</v>
      </c>
    </row>
    <row r="154" spans="12:13">
      <c r="L154" s="2">
        <v>0.18</v>
      </c>
      <c r="M154" s="1">
        <f t="shared" si="18"/>
        <v>0.10426822761984413</v>
      </c>
    </row>
    <row r="155" spans="12:13">
      <c r="L155" s="2">
        <v>0.2</v>
      </c>
      <c r="M155" s="1">
        <f t="shared" si="18"/>
        <v>0.11946822761984414</v>
      </c>
    </row>
    <row r="156" spans="12:13">
      <c r="L156" s="2">
        <v>0.22</v>
      </c>
      <c r="M156" s="1">
        <f t="shared" si="18"/>
        <v>0.13626822761984414</v>
      </c>
    </row>
    <row r="157" spans="12:13">
      <c r="L157" s="2">
        <v>0.24</v>
      </c>
      <c r="M157" s="1">
        <f t="shared" si="18"/>
        <v>0.15466822761984411</v>
      </c>
    </row>
    <row r="158" spans="12:13">
      <c r="L158" s="2">
        <v>0.26</v>
      </c>
      <c r="M158" s="1">
        <f t="shared" si="18"/>
        <v>0.17466822761984413</v>
      </c>
    </row>
    <row r="159" spans="12:13">
      <c r="L159" s="2">
        <v>0.28000000000000003</v>
      </c>
      <c r="M159" s="1">
        <f t="shared" si="18"/>
        <v>0.19626822761984414</v>
      </c>
    </row>
    <row r="160" spans="12:13">
      <c r="L160" s="2">
        <v>0.3</v>
      </c>
      <c r="M160" s="1">
        <f t="shared" si="18"/>
        <v>0.21946822761984414</v>
      </c>
    </row>
    <row r="161" spans="12:13">
      <c r="L161" s="2">
        <v>0.32</v>
      </c>
      <c r="M161" s="1">
        <f t="shared" si="18"/>
        <v>0.24426822761984412</v>
      </c>
    </row>
    <row r="162" spans="12:13">
      <c r="L162" s="2">
        <v>0.34</v>
      </c>
      <c r="M162" s="1">
        <f t="shared" si="18"/>
        <v>0.27066822761984416</v>
      </c>
    </row>
    <row r="163" spans="12:13">
      <c r="L163" s="2">
        <v>0.36</v>
      </c>
      <c r="M163" s="1">
        <f t="shared" si="18"/>
        <v>0.29866822761984413</v>
      </c>
    </row>
    <row r="164" spans="12:13">
      <c r="L164" s="2">
        <v>0.38</v>
      </c>
      <c r="M164" s="1">
        <f t="shared" si="18"/>
        <v>0.32826822761984414</v>
      </c>
    </row>
    <row r="165" spans="12:13">
      <c r="L165" s="2">
        <v>0.4</v>
      </c>
      <c r="M165" s="1">
        <f t="shared" si="18"/>
        <v>0.35946822761984421</v>
      </c>
    </row>
    <row r="167" spans="12:13">
      <c r="L167" s="2" t="s">
        <v>43</v>
      </c>
      <c r="M167" s="5" t="s">
        <v>34</v>
      </c>
    </row>
    <row r="168" spans="12:13">
      <c r="L168" s="2">
        <v>0</v>
      </c>
      <c r="M168" s="1">
        <f>$T$142 + L168^2/2</f>
        <v>0.1066763006684487</v>
      </c>
    </row>
    <row r="169" spans="12:13">
      <c r="L169" s="2">
        <v>0.02</v>
      </c>
      <c r="M169" s="1">
        <f t="shared" ref="M169:M188" si="19">$T$142 + L169^2/2</f>
        <v>0.10687630066844871</v>
      </c>
    </row>
    <row r="170" spans="12:13">
      <c r="L170" s="2">
        <v>0.04</v>
      </c>
      <c r="M170" s="1">
        <f t="shared" si="19"/>
        <v>0.1074763006684487</v>
      </c>
    </row>
    <row r="171" spans="12:13">
      <c r="L171" s="2">
        <v>0.06</v>
      </c>
      <c r="M171" s="1">
        <f t="shared" si="19"/>
        <v>0.1084763006684487</v>
      </c>
    </row>
    <row r="172" spans="12:13">
      <c r="L172" s="2">
        <v>0.08</v>
      </c>
      <c r="M172" s="1">
        <f t="shared" si="19"/>
        <v>0.1098763006684487</v>
      </c>
    </row>
    <row r="173" spans="12:13">
      <c r="L173" s="2">
        <v>0.1</v>
      </c>
      <c r="M173" s="1">
        <f t="shared" si="19"/>
        <v>0.11167630066844871</v>
      </c>
    </row>
    <row r="174" spans="12:13">
      <c r="L174" s="2">
        <v>0.12</v>
      </c>
      <c r="M174" s="1">
        <f t="shared" si="19"/>
        <v>0.1138763006684487</v>
      </c>
    </row>
    <row r="175" spans="12:13">
      <c r="L175" s="2">
        <v>0.14000000000000001</v>
      </c>
      <c r="M175" s="1">
        <f t="shared" si="19"/>
        <v>0.1164763006684487</v>
      </c>
    </row>
    <row r="176" spans="12:13">
      <c r="L176" s="2">
        <v>0.16</v>
      </c>
      <c r="M176" s="1">
        <f t="shared" si="19"/>
        <v>0.11947630066844871</v>
      </c>
    </row>
    <row r="177" spans="12:13">
      <c r="L177" s="2">
        <v>0.18</v>
      </c>
      <c r="M177" s="1">
        <f t="shared" si="19"/>
        <v>0.12287630066844871</v>
      </c>
    </row>
    <row r="178" spans="12:13">
      <c r="L178" s="2">
        <v>0.2</v>
      </c>
      <c r="M178" s="1">
        <f t="shared" si="19"/>
        <v>0.1266763006684487</v>
      </c>
    </row>
    <row r="179" spans="12:13">
      <c r="L179" s="2">
        <v>0.22</v>
      </c>
      <c r="M179" s="1">
        <f t="shared" si="19"/>
        <v>0.13087630066844869</v>
      </c>
    </row>
    <row r="180" spans="12:13">
      <c r="L180" s="2">
        <v>0.24</v>
      </c>
      <c r="M180" s="1">
        <f t="shared" si="19"/>
        <v>0.13547630066844871</v>
      </c>
    </row>
    <row r="181" spans="12:13">
      <c r="L181" s="2">
        <v>0.26</v>
      </c>
      <c r="M181" s="1">
        <f t="shared" si="19"/>
        <v>0.14047630066844871</v>
      </c>
    </row>
    <row r="182" spans="12:13">
      <c r="L182" s="2">
        <v>0.28000000000000003</v>
      </c>
      <c r="M182" s="1">
        <f t="shared" si="19"/>
        <v>0.1458763006684487</v>
      </c>
    </row>
    <row r="183" spans="12:13">
      <c r="L183" s="2">
        <v>0.3</v>
      </c>
      <c r="M183" s="1">
        <f t="shared" si="19"/>
        <v>0.1516763006684487</v>
      </c>
    </row>
    <row r="184" spans="12:13">
      <c r="L184" s="2">
        <v>0.32</v>
      </c>
      <c r="M184" s="1">
        <f t="shared" si="19"/>
        <v>0.15787630066844871</v>
      </c>
    </row>
    <row r="185" spans="12:13">
      <c r="L185" s="2">
        <v>0.34</v>
      </c>
      <c r="M185" s="1">
        <f t="shared" si="19"/>
        <v>0.16447630066844871</v>
      </c>
    </row>
    <row r="186" spans="12:13">
      <c r="L186" s="2">
        <v>0.36</v>
      </c>
      <c r="M186" s="1">
        <f t="shared" si="19"/>
        <v>0.17147630066844871</v>
      </c>
    </row>
    <row r="187" spans="12:13">
      <c r="L187" s="2">
        <v>0.38</v>
      </c>
      <c r="M187" s="1">
        <f t="shared" si="19"/>
        <v>0.1788763006684487</v>
      </c>
    </row>
    <row r="188" spans="12:13">
      <c r="L188" s="2">
        <v>0.4</v>
      </c>
      <c r="M188" s="1">
        <f t="shared" si="19"/>
        <v>0.1866763006684487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hsiuyee</cp:lastModifiedBy>
  <cp:revision/>
  <dcterms:created xsi:type="dcterms:W3CDTF">2026-04-07T02:05:19Z</dcterms:created>
  <dcterms:modified xsi:type="dcterms:W3CDTF">2026-04-07T11:35:10Z</dcterms:modified>
  <cp:category/>
  <cp:contentStatus/>
</cp:coreProperties>
</file>